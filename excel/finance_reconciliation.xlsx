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tables/table8.xml" ContentType="application/vnd.openxmlformats-officedocument.spreadsheetml.table+xml"/>
  <Override PartName="/xl/worksheets/sheet7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" sheetId="1" state="visible" r:id="rId1"/>
    <sheet name="MRR Bridge" sheetId="2" state="visible" r:id="rId2"/>
    <sheet name="Billing Reconciliation" sheetId="3" state="visible" r:id="rId3"/>
    <sheet name="Exceptions" sheetId="4" state="visible" r:id="rId4"/>
    <sheet name="Scenario Inputs" sheetId="5" state="visible" r:id="rId5"/>
    <sheet name="Scenario Output" sheetId="6" state="visible" r:id="rId6"/>
    <sheet name="Metric Definitions" sheetId="7" state="visible" r:id="rId7"/>
  </sheets>
  <definedNames>
    <definedName name="_xlnm.Print_Area" localSheetId="0">'Control'!$A$1:$B$24</definedName>
    <definedName name="_xlnm.Print_Titles" localSheetId="1">'MRR Bridge'!$4:$4</definedName>
    <definedName name="_xlnm.Print_Area" localSheetId="1">'MRR Bridge'!$A$1:$P$40</definedName>
    <definedName name="_xlnm.Print_Titles" localSheetId="2">'Billing Reconciliation'!$4:$4</definedName>
    <definedName name="_xlnm.Print_Area" localSheetId="2">'Billing Reconciliation'!$A$1:$N$41</definedName>
    <definedName name="_xlnm.Print_Area" localSheetId="3">'Exceptions'!$A$1:$G$977</definedName>
    <definedName name="_xlnm.Print_Area" localSheetId="4">'Scenario Inputs'!$A$1:$C$8</definedName>
    <definedName name="_xlnm.Print_Titles" localSheetId="5">'Scenario Output'!$4:$4</definedName>
    <definedName name="_xlnm.Print_Area" localSheetId="5">'Scenario Output'!$A$1:$J$40</definedName>
    <definedName name="_xlnm.Print_Area" localSheetId="6">'Metric Definitions'!$A$1:$D$11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"/>
    <numFmt numFmtId="166" formatCode="#,##0.00;[Red]-#,##0.00"/>
    <numFmt numFmtId="167" formatCode="0.0%"/>
    <numFmt numFmtId="168" formatCode="yyyy-mm-dd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  <font>
      <b val="1"/>
      <color rgb="009C0006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2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166" fontId="0" fillId="0" borderId="0" applyAlignment="1" pivotButton="0" quotePrefix="0" xfId="0">
      <alignment horizontal="left" vertical="top" wrapText="1"/>
    </xf>
    <xf numFmtId="167" fontId="0" fillId="0" borderId="0" applyAlignment="1" pivotButton="0" quotePrefix="0" xfId="0">
      <alignment horizontal="left" vertical="top" wrapText="1"/>
    </xf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0" fontId="3" fillId="0" borderId="0" pivotButton="0" quotePrefix="0" xfId="0"/>
    <xf numFmtId="3" fontId="3" fillId="0" borderId="0" pivotButton="0" quotePrefix="0" xfId="0"/>
    <xf numFmtId="166" fontId="3" fillId="0" borderId="0" pivotButton="0" quotePrefix="0" xfId="0"/>
    <xf numFmtId="168" fontId="0" fillId="0" borderId="0" pivotButton="0" quotePrefix="0" xfId="0"/>
    <xf numFmtId="167" fontId="0" fillId="3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ControlItems" displayName="ControlItems" ref="A4:B19" headerRowCount="1">
  <autoFilter ref="A4:B19"/>
  <tableColumns count="2">
    <tableColumn id="1" name="Control item"/>
    <tableColumn id="2" name="Value"/>
  </tableColumns>
  <tableStyleInfo name="TableStyleLight9" showRowStripes="1"/>
</table>
</file>

<file path=xl/tables/table2.xml><?xml version="1.0" encoding="utf-8"?>
<table xmlns="http://schemas.openxmlformats.org/spreadsheetml/2006/main" id="2" name="ExportHashes" displayName="ExportHashes" ref="A21:B24" headerRowCount="1">
  <autoFilter ref="A21:B24"/>
  <tableColumns count="2">
    <tableColumn id="1" name="Export"/>
    <tableColumn id="2" name="SHA-256"/>
  </tableColumns>
  <tableStyleInfo name="TableStyleLight9" showRowStripes="1"/>
</table>
</file>

<file path=xl/tables/table3.xml><?xml version="1.0" encoding="utf-8"?>
<table xmlns="http://schemas.openxmlformats.org/spreadsheetml/2006/main" id="3" name="MrrBridge" displayName="MrrBridge" ref="A4:P40" headerRowCount="1">
  <autoFilter ref="A4:P40"/>
  <tableColumns count="16">
    <tableColumn id="1" name="Month"/>
    <tableColumn id="2" name="Opening"/>
    <tableColumn id="3" name="New"/>
    <tableColumn id="4" name="Expansion"/>
    <tableColumn id="5" name="Reactivation"/>
    <tableColumn id="6" name="Contraction"/>
    <tableColumn id="7" name="Churned"/>
    <tableColumn id="8" name="Closing (warehouse)"/>
    <tableColumn id="9" name="Net new"/>
    <tableColumn id="10" name="Closing (calculated)"/>
    <tableColumn id="11" name="Variance"/>
    <tableColumn id="12" name="Bridge check"/>
    <tableColumn id="13" name="NRR"/>
    <tableColumn id="14" name="GRR"/>
    <tableColumn id="15" name="ARR"/>
    <tableColumn id="16" name="Opening ties to prior close"/>
  </tableColumns>
  <tableStyleInfo name="TableStyleLight9" showRowStripes="1"/>
</table>
</file>

<file path=xl/tables/table4.xml><?xml version="1.0" encoding="utf-8"?>
<table xmlns="http://schemas.openxmlformats.org/spreadsheetml/2006/main" id="4" name="BillingReconciliation" displayName="BillingReconciliation" ref="A4:N40" headerRowCount="1">
  <autoFilter ref="A4:N40"/>
  <tableColumns count="14">
    <tableColumn id="1" name="Invoice month"/>
    <tableColumn id="2" name="Invoices"/>
    <tableColumn id="3" name="Invoiced"/>
    <tableColumn id="4" name="Paid"/>
    <tableColumn id="5" name="Unpaid (failed)"/>
    <tableColumn id="6" name="Refunded"/>
    <tableColumn id="7" name="Net cash (warehouse)"/>
    <tableColumn id="8" name="Recognized"/>
    <tableColumn id="9" name="Deferred"/>
    <tableColumn id="10" name="Tie-out variance"/>
    <tableColumn id="11" name="Net cash (calculated)"/>
    <tableColumn id="12" name="Cash variance"/>
    <tableColumn id="13" name="Revenue variance"/>
    <tableColumn id="14" name="Reconciliation check"/>
  </tableColumns>
  <tableStyleInfo name="TableStyleLight9" showRowStripes="1"/>
</table>
</file>

<file path=xl/tables/table5.xml><?xml version="1.0" encoding="utf-8"?>
<table xmlns="http://schemas.openxmlformats.org/spreadsheetml/2006/main" id="5" name="ExceptionSummary" displayName="ExceptionSummary" ref="A4:D5" headerRowCount="1">
  <autoFilter ref="A4:D5"/>
  <tableColumns count="4">
    <tableColumn id="1" name="Rule"/>
    <tableColumn id="2" name="Severity"/>
    <tableColumn id="3" name="Records"/>
    <tableColumn id="4" name="Billed amount"/>
  </tableColumns>
  <tableStyleInfo name="TableStyleLight9" showRowStripes="1"/>
</table>
</file>

<file path=xl/tables/table6.xml><?xml version="1.0" encoding="utf-8"?>
<table xmlns="http://schemas.openxmlformats.org/spreadsheetml/2006/main" id="6" name="ExceptionDetail" displayName="ExceptionDetail" ref="A8:G977" headerRowCount="1">
  <autoFilter ref="A8:G977"/>
  <tableColumns count="7">
    <tableColumn id="1" name="Invoice"/>
    <tableColumn id="2" name="Rule"/>
    <tableColumn id="3" name="Severity"/>
    <tableColumn id="4" name="Invoice date"/>
    <tableColumn id="5" name="Customer"/>
    <tableColumn id="6" name="Billed amount"/>
    <tableColumn id="7" name="Details"/>
  </tableColumns>
  <tableStyleInfo name="TableStyleLight9" showRowStripes="1"/>
</table>
</file>

<file path=xl/tables/table7.xml><?xml version="1.0" encoding="utf-8"?>
<table xmlns="http://schemas.openxmlformats.org/spreadsheetml/2006/main" id="7" name="ScenarioInputs" displayName="ScenarioInputs" ref="A4:C8" headerRowCount="1">
  <autoFilter ref="A4:C8"/>
  <tableColumns count="3">
    <tableColumn id="1" name="Assumption"/>
    <tableColumn id="2" name="Value"/>
    <tableColumn id="3" name="Meaning"/>
  </tableColumns>
  <tableStyleInfo name="TableStyleLight9" showRowStripes="1"/>
</table>
</file>

<file path=xl/tables/table8.xml><?xml version="1.0" encoding="utf-8"?>
<table xmlns="http://schemas.openxmlformats.org/spreadsheetml/2006/main" id="8" name="ScenarioOutput" displayName="ScenarioOutput" ref="A4:J40" headerRowCount="1">
  <autoFilter ref="A4:J40"/>
  <tableColumns count="10">
    <tableColumn id="1" name="Month"/>
    <tableColumn id="2" name="Baseline MRR"/>
    <tableColumn id="3" name="Avoided churn"/>
    <tableColumn id="4" name="Extra expansion"/>
    <tableColumn id="5" name="Pricing effect"/>
    <tableColumn id="6" name="Scenario MRR"/>
    <tableColumn id="7" name="Incremental MRR"/>
    <tableColumn id="8" name="Baseline net cash"/>
    <tableColumn id="9" name="Recovered cash"/>
    <tableColumn id="10" name="Scenario net cash"/>
  </tableColumns>
  <tableStyleInfo name="TableStyleLight9" showRowStripes="1"/>
</table>
</file>

<file path=xl/tables/table9.xml><?xml version="1.0" encoding="utf-8"?>
<table xmlns="http://schemas.openxmlformats.org/spreadsheetml/2006/main" id="9" name="MetricDefinitions" displayName="MetricDefinitions" ref="A3:D11" headerRowCount="1">
  <autoFilter ref="A3:D11"/>
  <tableColumns count="4">
    <tableColumn id="1" name="Metric"/>
    <tableColumn id="2" name="Definition"/>
    <tableColumn id="3" name="Where in this workbook"/>
    <tableColumn id="4" name="Source mart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5.xml" Id="rId1" /><Relationship Type="http://schemas.openxmlformats.org/officeDocument/2006/relationships/table" Target="/xl/tables/table6.xml" Id="rId2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24"/>
  <sheetViews>
    <sheetView workbookViewId="0">
      <selection activeCell="A1" sqref="A1"/>
    </sheetView>
  </sheetViews>
  <sheetFormatPr baseColWidth="8" defaultRowHeight="15"/>
  <cols>
    <col width="34" customWidth="1" min="1" max="1"/>
    <col width="90" customWidth="1" min="2" max="2"/>
  </cols>
  <sheetData>
    <row r="1">
      <c r="A1" s="1" t="inlineStr">
        <is>
          <t>SaaS Revenue Intelligence | MRR, Retention &amp; Billing Controls</t>
        </is>
      </c>
    </row>
    <row r="2">
      <c r="A2" s="2" t="inlineStr">
        <is>
          <t>Synthetic data from a seeded generator. Not real company, customer or financial results.</t>
        </is>
      </c>
    </row>
    <row r="3">
      <c r="A3" t="inlineStr">
        <is>
          <t>Built by src/excel/build_workbook.py from the tested dbt marts. No macros. Shaded cells on Scenario Inputs are the only editable cells.</t>
        </is>
      </c>
    </row>
    <row r="4" ht="32" customHeight="1">
      <c r="A4" s="3" t="inlineStr">
        <is>
          <t>Control item</t>
        </is>
      </c>
      <c r="B4" s="3" t="inlineStr">
        <is>
          <t>Value</t>
        </is>
      </c>
    </row>
    <row r="5">
      <c r="A5" t="inlineStr">
        <is>
          <t>Refreshed (UTC)</t>
        </is>
      </c>
      <c r="B5" s="4" t="inlineStr">
        <is>
          <t>2026-09-19 20:07</t>
        </is>
      </c>
    </row>
    <row r="6">
      <c r="A6" t="inlineStr">
        <is>
          <t>Source commit</t>
        </is>
      </c>
      <c r="B6" s="4" t="inlineStr">
        <is>
          <t>a13e601c1309</t>
        </is>
      </c>
    </row>
    <row r="7">
      <c r="A7" t="inlineStr">
        <is>
          <t>Run ID (hash of exports)</t>
        </is>
      </c>
      <c r="B7" s="4" t="inlineStr">
        <is>
          <t>73d30c5e8e7b</t>
        </is>
      </c>
    </row>
    <row r="8">
      <c r="A8" t="inlineStr">
        <is>
          <t>Data window</t>
        </is>
      </c>
      <c r="B8" s="4" t="inlineStr">
        <is>
          <t>2023-01 to 2025-12</t>
        </is>
      </c>
    </row>
    <row r="9">
      <c r="A9" t="inlineStr">
        <is>
          <t>MRR bridge breaks</t>
        </is>
      </c>
      <c r="B9" s="4">
        <f>COUNTIF('MRR Bridge'!L5:L40,"CHECK")</f>
        <v/>
      </c>
    </row>
    <row r="10">
      <c r="A10" t="inlineStr">
        <is>
          <t>Opening balance breaks</t>
        </is>
      </c>
      <c r="B10" s="4">
        <f>COUNTIF('MRR Bridge'!P5:P40,"CHECK")</f>
        <v/>
      </c>
    </row>
    <row r="11">
      <c r="A11" t="inlineStr">
        <is>
          <t>Billing reconciliation breaks</t>
        </is>
      </c>
      <c r="B11" s="4">
        <f>COUNTIF('Billing Reconciliation'!N5:N40,"CHECK")</f>
        <v/>
      </c>
    </row>
    <row r="12">
      <c r="A12" t="inlineStr">
        <is>
          <t>Reconciliation status</t>
        </is>
      </c>
      <c r="B12" s="5">
        <f>IF(B9+B10+B11=0,"ALL CHECKS PASS","REVIEW")</f>
        <v/>
      </c>
    </row>
    <row r="13">
      <c r="A13" t="inlineStr">
        <is>
          <t>Latest closing MRR</t>
        </is>
      </c>
      <c r="B13" s="6">
        <f>'MRR Bridge'!H40</f>
        <v/>
      </c>
    </row>
    <row r="14">
      <c r="A14" t="inlineStr">
        <is>
          <t>Latest net revenue retention</t>
        </is>
      </c>
      <c r="B14" s="7">
        <f>'MRR Bridge'!M40</f>
        <v/>
      </c>
    </row>
    <row r="15">
      <c r="A15" t="inlineStr">
        <is>
          <t>Latest gross revenue retention</t>
        </is>
      </c>
      <c r="B15" s="7">
        <f>'MRR Bridge'!N40</f>
        <v/>
      </c>
    </row>
    <row r="16">
      <c r="A16" t="inlineStr">
        <is>
          <t>Total invoiced</t>
        </is>
      </c>
      <c r="B16" s="6">
        <f>'Billing Reconciliation'!C41</f>
        <v/>
      </c>
    </row>
    <row r="17">
      <c r="A17" t="inlineStr">
        <is>
          <t>Total failed-payment exposure</t>
        </is>
      </c>
      <c r="B17" s="6">
        <f>'Billing Reconciliation'!E41</f>
        <v/>
      </c>
    </row>
    <row r="18">
      <c r="A18" t="inlineStr">
        <is>
          <t>Finance exceptions queued</t>
        </is>
      </c>
      <c r="B18" s="4">
        <f>COUNTA(Exceptions!A9:A977)</f>
        <v/>
      </c>
    </row>
    <row r="19">
      <c r="A19" t="inlineStr">
        <is>
          <t>Caveat</t>
        </is>
      </c>
      <c r="B19" s="4" t="inlineStr">
        <is>
          <t>December 2025 churn is concentrated on the last day of the data window; treat it as a data-dating question.</t>
        </is>
      </c>
    </row>
    <row r="21" ht="32" customHeight="1">
      <c r="A21" s="3" t="inlineStr">
        <is>
          <t>Export</t>
        </is>
      </c>
      <c r="B21" s="3" t="inlineStr">
        <is>
          <t>SHA-256</t>
        </is>
      </c>
    </row>
    <row r="22">
      <c r="A22" t="inlineStr">
        <is>
          <t>billing_reconciliation.csv</t>
        </is>
      </c>
      <c r="B22" t="inlineStr">
        <is>
          <t>b99fa456d402cfbd91681ea16f34492af00e56e7377982ecb9d8577c27910af9</t>
        </is>
      </c>
    </row>
    <row r="23">
      <c r="A23" t="inlineStr">
        <is>
          <t>finance_exceptions.csv</t>
        </is>
      </c>
      <c r="B23" t="inlineStr">
        <is>
          <t>f815681b348f2f610ec8e3a4727bf41513270a777b2170681c533396ff1c989a</t>
        </is>
      </c>
    </row>
    <row r="24">
      <c r="A24" t="inlineStr">
        <is>
          <t>mrr_bridge.csv</t>
        </is>
      </c>
      <c r="B24" t="inlineStr">
        <is>
          <t>79ef29980cd4631517e4f25d320373237fdc115902e2802c4d65758e252e2cd8</t>
        </is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0"/>
  <pageMargins left="0.4" right="0.4" top="1" bottom="1" header="0.5" footer="0.5"/>
  <pageSetup orientation="landscape" paperSize="1" fitToHeight="1" fitToWidth="1"/>
  <headerFooter>
    <oddHeader>&amp;L&amp;9 SaaS Revenue Intelligence | MRR, Retention &amp;&amp; Billing Controls&amp;R&amp;9 Control</oddHeader>
    <oddFooter>&amp;L&amp;8 Synthetic data. Not real financial results.&amp;C&amp;8 Refreshed 2026-09-19 20:07 UTC&amp;R&amp;8 Page &amp;P of &amp;N</oddFooter>
    <evenHeader/>
    <evenFooter/>
    <firstHeader/>
    <firstFooter/>
  </headerFooter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4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</cols>
  <sheetData>
    <row r="1">
      <c r="A1" s="1" t="inlineStr">
        <is>
          <t>MRR bridge and roll-forward checks</t>
        </is>
      </c>
    </row>
    <row r="2">
      <c r="A2" t="inlineStr">
        <is>
          <t>Columns B to H are warehouse values. Columns I to P are formulas.</t>
        </is>
      </c>
    </row>
    <row r="4" ht="32" customHeight="1">
      <c r="A4" s="3" t="inlineStr">
        <is>
          <t>Month</t>
        </is>
      </c>
      <c r="B4" s="3" t="inlineStr">
        <is>
          <t>Opening</t>
        </is>
      </c>
      <c r="C4" s="3" t="inlineStr">
        <is>
          <t>New</t>
        </is>
      </c>
      <c r="D4" s="3" t="inlineStr">
        <is>
          <t>Expansion</t>
        </is>
      </c>
      <c r="E4" s="3" t="inlineStr">
        <is>
          <t>Reactivation</t>
        </is>
      </c>
      <c r="F4" s="3" t="inlineStr">
        <is>
          <t>Contraction</t>
        </is>
      </c>
      <c r="G4" s="3" t="inlineStr">
        <is>
          <t>Churned</t>
        </is>
      </c>
      <c r="H4" s="3" t="inlineStr">
        <is>
          <t>Closing (warehouse)</t>
        </is>
      </c>
      <c r="I4" s="3" t="inlineStr">
        <is>
          <t>Net new</t>
        </is>
      </c>
      <c r="J4" s="3" t="inlineStr">
        <is>
          <t>Closing (calculated)</t>
        </is>
      </c>
      <c r="K4" s="3" t="inlineStr">
        <is>
          <t>Variance</t>
        </is>
      </c>
      <c r="L4" s="3" t="inlineStr">
        <is>
          <t>Bridge check</t>
        </is>
      </c>
      <c r="M4" s="3" t="inlineStr">
        <is>
          <t>NRR</t>
        </is>
      </c>
      <c r="N4" s="3" t="inlineStr">
        <is>
          <t>GRR</t>
        </is>
      </c>
      <c r="O4" s="3" t="inlineStr">
        <is>
          <t>ARR</t>
        </is>
      </c>
      <c r="P4" s="3" t="inlineStr">
        <is>
          <t>Opening ties to prior close</t>
        </is>
      </c>
    </row>
    <row r="5">
      <c r="A5" s="8" t="n">
        <v>44927</v>
      </c>
      <c r="B5" s="9" t="n">
        <v>0</v>
      </c>
      <c r="C5" s="9" t="n">
        <v>54743.25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54743.25</v>
      </c>
      <c r="I5" s="9">
        <f>C5+D5+E5-F5-G5</f>
        <v/>
      </c>
      <c r="J5" s="9">
        <f>B5+I5</f>
        <v/>
      </c>
      <c r="K5" s="9">
        <f>ROUND(J5-H5,2)</f>
        <v/>
      </c>
      <c r="L5">
        <f>IF(ABS(K5)&lt;=0.01,"OK","CHECK")</f>
        <v/>
      </c>
      <c r="M5" s="10">
        <f>IF(B5&gt;0,(B5+D5+E5-F5-G5)/B5,"")</f>
        <v/>
      </c>
      <c r="N5" s="10">
        <f>IF(B5&gt;0,(B5-F5-G5)/B5,"")</f>
        <v/>
      </c>
      <c r="O5" s="9">
        <f>H5*12</f>
        <v/>
      </c>
      <c r="P5">
        <f>"OK"</f>
        <v/>
      </c>
    </row>
    <row r="6">
      <c r="A6" s="8" t="n">
        <v>44958</v>
      </c>
      <c r="B6" s="9" t="n">
        <v>54743.25</v>
      </c>
      <c r="C6" s="9" t="n">
        <v>118635.15</v>
      </c>
      <c r="D6" s="9" t="n">
        <v>0</v>
      </c>
      <c r="E6" s="9" t="n">
        <v>0</v>
      </c>
      <c r="F6" s="9" t="n">
        <v>0</v>
      </c>
      <c r="G6" s="9" t="n">
        <v>0</v>
      </c>
      <c r="H6" s="9" t="n">
        <v>173378.4</v>
      </c>
      <c r="I6" s="9">
        <f>C6+D6+E6-F6-G6</f>
        <v/>
      </c>
      <c r="J6" s="9">
        <f>B6+I6</f>
        <v/>
      </c>
      <c r="K6" s="9">
        <f>ROUND(J6-H6,2)</f>
        <v/>
      </c>
      <c r="L6">
        <f>IF(ABS(K6)&lt;=0.01,"OK","CHECK")</f>
        <v/>
      </c>
      <c r="M6" s="10">
        <f>IF(B6&gt;0,(B6+D6+E6-F6-G6)/B6,"")</f>
        <v/>
      </c>
      <c r="N6" s="10">
        <f>IF(B6&gt;0,(B6-F6-G6)/B6,"")</f>
        <v/>
      </c>
      <c r="O6" s="9">
        <f>H6*12</f>
        <v/>
      </c>
      <c r="P6">
        <f>IF(ABS(B6-H5)&lt;=0.01,"OK","CHECK")</f>
        <v/>
      </c>
    </row>
    <row r="7">
      <c r="A7" s="8" t="n">
        <v>44986</v>
      </c>
      <c r="B7" s="9" t="n">
        <v>173378.4</v>
      </c>
      <c r="C7" s="9" t="n">
        <v>47009.6</v>
      </c>
      <c r="D7" s="9" t="n">
        <v>3095.61</v>
      </c>
      <c r="E7" s="9" t="n">
        <v>0</v>
      </c>
      <c r="F7" s="9" t="n">
        <v>6816.75</v>
      </c>
      <c r="G7" s="9" t="n">
        <v>0</v>
      </c>
      <c r="H7" s="9" t="n">
        <v>216666.86</v>
      </c>
      <c r="I7" s="9">
        <f>C7+D7+E7-F7-G7</f>
        <v/>
      </c>
      <c r="J7" s="9">
        <f>B7+I7</f>
        <v/>
      </c>
      <c r="K7" s="9">
        <f>ROUND(J7-H7,2)</f>
        <v/>
      </c>
      <c r="L7">
        <f>IF(ABS(K7)&lt;=0.01,"OK","CHECK")</f>
        <v/>
      </c>
      <c r="M7" s="10">
        <f>IF(B7&gt;0,(B7+D7+E7-F7-G7)/B7,"")</f>
        <v/>
      </c>
      <c r="N7" s="10">
        <f>IF(B7&gt;0,(B7-F7-G7)/B7,"")</f>
        <v/>
      </c>
      <c r="O7" s="9">
        <f>H7*12</f>
        <v/>
      </c>
      <c r="P7">
        <f>IF(ABS(B7-H6)&lt;=0.01,"OK","CHECK")</f>
        <v/>
      </c>
    </row>
    <row r="8">
      <c r="A8" s="8" t="n">
        <v>45017</v>
      </c>
      <c r="B8" s="9" t="n">
        <v>216666.86</v>
      </c>
      <c r="C8" s="9" t="n">
        <v>50077.45</v>
      </c>
      <c r="D8" s="9" t="n">
        <v>411.12</v>
      </c>
      <c r="E8" s="9" t="n">
        <v>0</v>
      </c>
      <c r="F8" s="9" t="n">
        <v>395</v>
      </c>
      <c r="G8" s="9" t="n">
        <v>0</v>
      </c>
      <c r="H8" s="9" t="n">
        <v>266760.43</v>
      </c>
      <c r="I8" s="9">
        <f>C8+D8+E8-F8-G8</f>
        <v/>
      </c>
      <c r="J8" s="9">
        <f>B8+I8</f>
        <v/>
      </c>
      <c r="K8" s="9">
        <f>ROUND(J8-H8,2)</f>
        <v/>
      </c>
      <c r="L8">
        <f>IF(ABS(K8)&lt;=0.01,"OK","CHECK")</f>
        <v/>
      </c>
      <c r="M8" s="10">
        <f>IF(B8&gt;0,(B8+D8+E8-F8-G8)/B8,"")</f>
        <v/>
      </c>
      <c r="N8" s="10">
        <f>IF(B8&gt;0,(B8-F8-G8)/B8,"")</f>
        <v/>
      </c>
      <c r="O8" s="9">
        <f>H8*12</f>
        <v/>
      </c>
      <c r="P8">
        <f>IF(ABS(B8-H7)&lt;=0.01,"OK","CHECK")</f>
        <v/>
      </c>
    </row>
    <row r="9">
      <c r="A9" s="8" t="n">
        <v>45047</v>
      </c>
      <c r="B9" s="9" t="n">
        <v>266760.43</v>
      </c>
      <c r="C9" s="9" t="n">
        <v>72664.85000000001</v>
      </c>
      <c r="D9" s="9" t="n">
        <v>3078.61</v>
      </c>
      <c r="E9" s="9" t="n">
        <v>0</v>
      </c>
      <c r="F9" s="9" t="n">
        <v>419.69</v>
      </c>
      <c r="G9" s="9" t="n">
        <v>0</v>
      </c>
      <c r="H9" s="9" t="n">
        <v>342084.2</v>
      </c>
      <c r="I9" s="9">
        <f>C9+D9+E9-F9-G9</f>
        <v/>
      </c>
      <c r="J9" s="9">
        <f>B9+I9</f>
        <v/>
      </c>
      <c r="K9" s="9">
        <f>ROUND(J9-H9,2)</f>
        <v/>
      </c>
      <c r="L9">
        <f>IF(ABS(K9)&lt;=0.01,"OK","CHECK")</f>
        <v/>
      </c>
      <c r="M9" s="10">
        <f>IF(B9&gt;0,(B9+D9+E9-F9-G9)/B9,"")</f>
        <v/>
      </c>
      <c r="N9" s="10">
        <f>IF(B9&gt;0,(B9-F9-G9)/B9,"")</f>
        <v/>
      </c>
      <c r="O9" s="9">
        <f>H9*12</f>
        <v/>
      </c>
      <c r="P9">
        <f>IF(ABS(B9-H8)&lt;=0.01,"OK","CHECK")</f>
        <v/>
      </c>
    </row>
    <row r="10">
      <c r="A10" s="8" t="n">
        <v>45078</v>
      </c>
      <c r="B10" s="9" t="n">
        <v>342084.2</v>
      </c>
      <c r="C10" s="9" t="n">
        <v>27209.25</v>
      </c>
      <c r="D10" s="9" t="n">
        <v>2553.51</v>
      </c>
      <c r="E10" s="9" t="n">
        <v>0</v>
      </c>
      <c r="F10" s="9" t="n">
        <v>3006.3</v>
      </c>
      <c r="G10" s="9" t="n">
        <v>0</v>
      </c>
      <c r="H10" s="9" t="n">
        <v>368840.66</v>
      </c>
      <c r="I10" s="9">
        <f>C10+D10+E10-F10-G10</f>
        <v/>
      </c>
      <c r="J10" s="9">
        <f>B10+I10</f>
        <v/>
      </c>
      <c r="K10" s="9">
        <f>ROUND(J10-H10,2)</f>
        <v/>
      </c>
      <c r="L10">
        <f>IF(ABS(K10)&lt;=0.01,"OK","CHECK")</f>
        <v/>
      </c>
      <c r="M10" s="10">
        <f>IF(B10&gt;0,(B10+D10+E10-F10-G10)/B10,"")</f>
        <v/>
      </c>
      <c r="N10" s="10">
        <f>IF(B10&gt;0,(B10-F10-G10)/B10,"")</f>
        <v/>
      </c>
      <c r="O10" s="9">
        <f>H10*12</f>
        <v/>
      </c>
      <c r="P10">
        <f>IF(ABS(B10-H9)&lt;=0.01,"OK","CHECK")</f>
        <v/>
      </c>
    </row>
    <row r="11">
      <c r="A11" s="8" t="n">
        <v>45108</v>
      </c>
      <c r="B11" s="9" t="n">
        <v>368840.66</v>
      </c>
      <c r="C11" s="9" t="n">
        <v>52774.5</v>
      </c>
      <c r="D11" s="9" t="n">
        <v>2057.82</v>
      </c>
      <c r="E11" s="9" t="n">
        <v>0</v>
      </c>
      <c r="F11" s="9" t="n">
        <v>140.4</v>
      </c>
      <c r="G11" s="9" t="n">
        <v>0</v>
      </c>
      <c r="H11" s="9" t="n">
        <v>423532.58</v>
      </c>
      <c r="I11" s="9">
        <f>C11+D11+E11-F11-G11</f>
        <v/>
      </c>
      <c r="J11" s="9">
        <f>B11+I11</f>
        <v/>
      </c>
      <c r="K11" s="9">
        <f>ROUND(J11-H11,2)</f>
        <v/>
      </c>
      <c r="L11">
        <f>IF(ABS(K11)&lt;=0.01,"OK","CHECK")</f>
        <v/>
      </c>
      <c r="M11" s="10">
        <f>IF(B11&gt;0,(B11+D11+E11-F11-G11)/B11,"")</f>
        <v/>
      </c>
      <c r="N11" s="10">
        <f>IF(B11&gt;0,(B11-F11-G11)/B11,"")</f>
        <v/>
      </c>
      <c r="O11" s="9">
        <f>H11*12</f>
        <v/>
      </c>
      <c r="P11">
        <f>IF(ABS(B11-H10)&lt;=0.01,"OK","CHECK")</f>
        <v/>
      </c>
    </row>
    <row r="12">
      <c r="A12" s="8" t="n">
        <v>45139</v>
      </c>
      <c r="B12" s="9" t="n">
        <v>423532.58</v>
      </c>
      <c r="C12" s="9" t="n">
        <v>56215.35</v>
      </c>
      <c r="D12" s="9" t="n">
        <v>5783.11</v>
      </c>
      <c r="E12" s="9" t="n">
        <v>0</v>
      </c>
      <c r="F12" s="9" t="n">
        <v>429.35</v>
      </c>
      <c r="G12" s="9" t="n">
        <v>0</v>
      </c>
      <c r="H12" s="9" t="n">
        <v>485101.69</v>
      </c>
      <c r="I12" s="9">
        <f>C12+D12+E12-F12-G12</f>
        <v/>
      </c>
      <c r="J12" s="9">
        <f>B12+I12</f>
        <v/>
      </c>
      <c r="K12" s="9">
        <f>ROUND(J12-H12,2)</f>
        <v/>
      </c>
      <c r="L12">
        <f>IF(ABS(K12)&lt;=0.01,"OK","CHECK")</f>
        <v/>
      </c>
      <c r="M12" s="10">
        <f>IF(B12&gt;0,(B12+D12+E12-F12-G12)/B12,"")</f>
        <v/>
      </c>
      <c r="N12" s="10">
        <f>IF(B12&gt;0,(B12-F12-G12)/B12,"")</f>
        <v/>
      </c>
      <c r="O12" s="9">
        <f>H12*12</f>
        <v/>
      </c>
      <c r="P12">
        <f>IF(ABS(B12-H11)&lt;=0.01,"OK","CHECK")</f>
        <v/>
      </c>
    </row>
    <row r="13">
      <c r="A13" s="8" t="n">
        <v>45170</v>
      </c>
      <c r="B13" s="9" t="n">
        <v>485101.69</v>
      </c>
      <c r="C13" s="9" t="n">
        <v>35537.1</v>
      </c>
      <c r="D13" s="9" t="n">
        <v>7827.86</v>
      </c>
      <c r="E13" s="9" t="n">
        <v>0</v>
      </c>
      <c r="F13" s="9" t="n">
        <v>1142.74</v>
      </c>
      <c r="G13" s="9" t="n">
        <v>0</v>
      </c>
      <c r="H13" s="9" t="n">
        <v>527323.91</v>
      </c>
      <c r="I13" s="9">
        <f>C13+D13+E13-F13-G13</f>
        <v/>
      </c>
      <c r="J13" s="9">
        <f>B13+I13</f>
        <v/>
      </c>
      <c r="K13" s="9">
        <f>ROUND(J13-H13,2)</f>
        <v/>
      </c>
      <c r="L13">
        <f>IF(ABS(K13)&lt;=0.01,"OK","CHECK")</f>
        <v/>
      </c>
      <c r="M13" s="10">
        <f>IF(B13&gt;0,(B13+D13+E13-F13-G13)/B13,"")</f>
        <v/>
      </c>
      <c r="N13" s="10">
        <f>IF(B13&gt;0,(B13-F13-G13)/B13,"")</f>
        <v/>
      </c>
      <c r="O13" s="9">
        <f>H13*12</f>
        <v/>
      </c>
      <c r="P13">
        <f>IF(ABS(B13-H12)&lt;=0.01,"OK","CHECK")</f>
        <v/>
      </c>
    </row>
    <row r="14">
      <c r="A14" s="8" t="n">
        <v>45200</v>
      </c>
      <c r="B14" s="9" t="n">
        <v>527323.91</v>
      </c>
      <c r="C14" s="9" t="n">
        <v>47480.75</v>
      </c>
      <c r="D14" s="9" t="n">
        <v>1951.58</v>
      </c>
      <c r="E14" s="9" t="n">
        <v>0</v>
      </c>
      <c r="F14" s="9" t="n">
        <v>1425.56</v>
      </c>
      <c r="G14" s="9" t="n">
        <v>9650.25</v>
      </c>
      <c r="H14" s="9" t="n">
        <v>565680.4300000001</v>
      </c>
      <c r="I14" s="9">
        <f>C14+D14+E14-F14-G14</f>
        <v/>
      </c>
      <c r="J14" s="9">
        <f>B14+I14</f>
        <v/>
      </c>
      <c r="K14" s="9">
        <f>ROUND(J14-H14,2)</f>
        <v/>
      </c>
      <c r="L14">
        <f>IF(ABS(K14)&lt;=0.01,"OK","CHECK")</f>
        <v/>
      </c>
      <c r="M14" s="10">
        <f>IF(B14&gt;0,(B14+D14+E14-F14-G14)/B14,"")</f>
        <v/>
      </c>
      <c r="N14" s="10">
        <f>IF(B14&gt;0,(B14-F14-G14)/B14,"")</f>
        <v/>
      </c>
      <c r="O14" s="9">
        <f>H14*12</f>
        <v/>
      </c>
      <c r="P14">
        <f>IF(ABS(B14-H13)&lt;=0.01,"OK","CHECK")</f>
        <v/>
      </c>
    </row>
    <row r="15">
      <c r="A15" s="8" t="n">
        <v>45231</v>
      </c>
      <c r="B15" s="9" t="n">
        <v>565680.4300000001</v>
      </c>
      <c r="C15" s="9" t="n">
        <v>30726.1</v>
      </c>
      <c r="D15" s="9" t="n">
        <v>6587.46</v>
      </c>
      <c r="E15" s="9" t="n">
        <v>0</v>
      </c>
      <c r="F15" s="9" t="n">
        <v>543.2</v>
      </c>
      <c r="G15" s="9" t="n">
        <v>1317.05</v>
      </c>
      <c r="H15" s="9" t="n">
        <v>601133.74</v>
      </c>
      <c r="I15" s="9">
        <f>C15+D15+E15-F15-G15</f>
        <v/>
      </c>
      <c r="J15" s="9">
        <f>B15+I15</f>
        <v/>
      </c>
      <c r="K15" s="9">
        <f>ROUND(J15-H15,2)</f>
        <v/>
      </c>
      <c r="L15">
        <f>IF(ABS(K15)&lt;=0.01,"OK","CHECK")</f>
        <v/>
      </c>
      <c r="M15" s="10">
        <f>IF(B15&gt;0,(B15+D15+E15-F15-G15)/B15,"")</f>
        <v/>
      </c>
      <c r="N15" s="10">
        <f>IF(B15&gt;0,(B15-F15-G15)/B15,"")</f>
        <v/>
      </c>
      <c r="O15" s="9">
        <f>H15*12</f>
        <v/>
      </c>
      <c r="P15">
        <f>IF(ABS(B15-H14)&lt;=0.01,"OK","CHECK")</f>
        <v/>
      </c>
    </row>
    <row r="16">
      <c r="A16" s="8" t="n">
        <v>45261</v>
      </c>
      <c r="B16" s="9" t="n">
        <v>601133.74</v>
      </c>
      <c r="C16" s="9" t="n">
        <v>31257.35</v>
      </c>
      <c r="D16" s="9" t="n">
        <v>2411.9</v>
      </c>
      <c r="E16" s="9" t="n">
        <v>0</v>
      </c>
      <c r="F16" s="9" t="n">
        <v>6253.41</v>
      </c>
      <c r="G16" s="9" t="n">
        <v>1069.46</v>
      </c>
      <c r="H16" s="9" t="n">
        <v>627480.12</v>
      </c>
      <c r="I16" s="9">
        <f>C16+D16+E16-F16-G16</f>
        <v/>
      </c>
      <c r="J16" s="9">
        <f>B16+I16</f>
        <v/>
      </c>
      <c r="K16" s="9">
        <f>ROUND(J16-H16,2)</f>
        <v/>
      </c>
      <c r="L16">
        <f>IF(ABS(K16)&lt;=0.01,"OK","CHECK")</f>
        <v/>
      </c>
      <c r="M16" s="10">
        <f>IF(B16&gt;0,(B16+D16+E16-F16-G16)/B16,"")</f>
        <v/>
      </c>
      <c r="N16" s="10">
        <f>IF(B16&gt;0,(B16-F16-G16)/B16,"")</f>
        <v/>
      </c>
      <c r="O16" s="9">
        <f>H16*12</f>
        <v/>
      </c>
      <c r="P16">
        <f>IF(ABS(B16-H15)&lt;=0.01,"OK","CHECK")</f>
        <v/>
      </c>
    </row>
    <row r="17">
      <c r="A17" s="8" t="n">
        <v>45292</v>
      </c>
      <c r="B17" s="9" t="n">
        <v>627480.12</v>
      </c>
      <c r="C17" s="9" t="n">
        <v>93401.10000000001</v>
      </c>
      <c r="D17" s="9" t="n">
        <v>8787.75</v>
      </c>
      <c r="E17" s="9" t="n">
        <v>0</v>
      </c>
      <c r="F17" s="9" t="n">
        <v>1363.3</v>
      </c>
      <c r="G17" s="9" t="n">
        <v>312</v>
      </c>
      <c r="H17" s="9" t="n">
        <v>727993.67</v>
      </c>
      <c r="I17" s="9">
        <f>C17+D17+E17-F17-G17</f>
        <v/>
      </c>
      <c r="J17" s="9">
        <f>B17+I17</f>
        <v/>
      </c>
      <c r="K17" s="9">
        <f>ROUND(J17-H17,2)</f>
        <v/>
      </c>
      <c r="L17">
        <f>IF(ABS(K17)&lt;=0.01,"OK","CHECK")</f>
        <v/>
      </c>
      <c r="M17" s="10">
        <f>IF(B17&gt;0,(B17+D17+E17-F17-G17)/B17,"")</f>
        <v/>
      </c>
      <c r="N17" s="10">
        <f>IF(B17&gt;0,(B17-F17-G17)/B17,"")</f>
        <v/>
      </c>
      <c r="O17" s="9">
        <f>H17*12</f>
        <v/>
      </c>
      <c r="P17">
        <f>IF(ABS(B17-H16)&lt;=0.01,"OK","CHECK")</f>
        <v/>
      </c>
    </row>
    <row r="18">
      <c r="A18" s="8" t="n">
        <v>45323</v>
      </c>
      <c r="B18" s="9" t="n">
        <v>727993.67</v>
      </c>
      <c r="C18" s="9" t="n">
        <v>107864.25</v>
      </c>
      <c r="D18" s="9" t="n">
        <v>19056.18</v>
      </c>
      <c r="E18" s="9" t="n">
        <v>0</v>
      </c>
      <c r="F18" s="9" t="n">
        <v>1274.28</v>
      </c>
      <c r="G18" s="9" t="n">
        <v>11658.79</v>
      </c>
      <c r="H18" s="9" t="n">
        <v>841981.03</v>
      </c>
      <c r="I18" s="9">
        <f>C18+D18+E18-F18-G18</f>
        <v/>
      </c>
      <c r="J18" s="9">
        <f>B18+I18</f>
        <v/>
      </c>
      <c r="K18" s="9">
        <f>ROUND(J18-H18,2)</f>
        <v/>
      </c>
      <c r="L18">
        <f>IF(ABS(K18)&lt;=0.01,"OK","CHECK")</f>
        <v/>
      </c>
      <c r="M18" s="10">
        <f>IF(B18&gt;0,(B18+D18+E18-F18-G18)/B18,"")</f>
        <v/>
      </c>
      <c r="N18" s="10">
        <f>IF(B18&gt;0,(B18-F18-G18)/B18,"")</f>
        <v/>
      </c>
      <c r="O18" s="9">
        <f>H18*12</f>
        <v/>
      </c>
      <c r="P18">
        <f>IF(ABS(B18-H17)&lt;=0.01,"OK","CHECK")</f>
        <v/>
      </c>
    </row>
    <row r="19">
      <c r="A19" s="8" t="n">
        <v>45352</v>
      </c>
      <c r="B19" s="9" t="n">
        <v>841981.03</v>
      </c>
      <c r="C19" s="9" t="n">
        <v>69258.75</v>
      </c>
      <c r="D19" s="9" t="n">
        <v>15330.56</v>
      </c>
      <c r="E19" s="9" t="n">
        <v>0</v>
      </c>
      <c r="F19" s="9" t="n">
        <v>796</v>
      </c>
      <c r="G19" s="9" t="n">
        <v>1477.3</v>
      </c>
      <c r="H19" s="9" t="n">
        <v>924297.04</v>
      </c>
      <c r="I19" s="9">
        <f>C19+D19+E19-F19-G19</f>
        <v/>
      </c>
      <c r="J19" s="9">
        <f>B19+I19</f>
        <v/>
      </c>
      <c r="K19" s="9">
        <f>ROUND(J19-H19,2)</f>
        <v/>
      </c>
      <c r="L19">
        <f>IF(ABS(K19)&lt;=0.01,"OK","CHECK")</f>
        <v/>
      </c>
      <c r="M19" s="10">
        <f>IF(B19&gt;0,(B19+D19+E19-F19-G19)/B19,"")</f>
        <v/>
      </c>
      <c r="N19" s="10">
        <f>IF(B19&gt;0,(B19-F19-G19)/B19,"")</f>
        <v/>
      </c>
      <c r="O19" s="9">
        <f>H19*12</f>
        <v/>
      </c>
      <c r="P19">
        <f>IF(ABS(B19-H18)&lt;=0.01,"OK","CHECK")</f>
        <v/>
      </c>
    </row>
    <row r="20">
      <c r="A20" s="8" t="n">
        <v>45383</v>
      </c>
      <c r="B20" s="9" t="n">
        <v>924297.04</v>
      </c>
      <c r="C20" s="9" t="n">
        <v>33936.8</v>
      </c>
      <c r="D20" s="9" t="n">
        <v>5425.44</v>
      </c>
      <c r="E20" s="9" t="n">
        <v>0</v>
      </c>
      <c r="F20" s="9" t="n">
        <v>355.87</v>
      </c>
      <c r="G20" s="9" t="n">
        <v>10812.28</v>
      </c>
      <c r="H20" s="9" t="n">
        <v>952491.13</v>
      </c>
      <c r="I20" s="9">
        <f>C20+D20+E20-F20-G20</f>
        <v/>
      </c>
      <c r="J20" s="9">
        <f>B20+I20</f>
        <v/>
      </c>
      <c r="K20" s="9">
        <f>ROUND(J20-H20,2)</f>
        <v/>
      </c>
      <c r="L20">
        <f>IF(ABS(K20)&lt;=0.01,"OK","CHECK")</f>
        <v/>
      </c>
      <c r="M20" s="10">
        <f>IF(B20&gt;0,(B20+D20+E20-F20-G20)/B20,"")</f>
        <v/>
      </c>
      <c r="N20" s="10">
        <f>IF(B20&gt;0,(B20-F20-G20)/B20,"")</f>
        <v/>
      </c>
      <c r="O20" s="9">
        <f>H20*12</f>
        <v/>
      </c>
      <c r="P20">
        <f>IF(ABS(B20-H19)&lt;=0.01,"OK","CHECK")</f>
        <v/>
      </c>
    </row>
    <row r="21">
      <c r="A21" s="8" t="n">
        <v>45413</v>
      </c>
      <c r="B21" s="9" t="n">
        <v>952491.13</v>
      </c>
      <c r="C21" s="9" t="n">
        <v>77610.7</v>
      </c>
      <c r="D21" s="9" t="n">
        <v>10429.95</v>
      </c>
      <c r="E21" s="9" t="n">
        <v>0</v>
      </c>
      <c r="F21" s="9" t="n">
        <v>5574.14</v>
      </c>
      <c r="G21" s="9" t="n">
        <v>2004.18</v>
      </c>
      <c r="H21" s="9" t="n">
        <v>1032953.46</v>
      </c>
      <c r="I21" s="9">
        <f>C21+D21+E21-F21-G21</f>
        <v/>
      </c>
      <c r="J21" s="9">
        <f>B21+I21</f>
        <v/>
      </c>
      <c r="K21" s="9">
        <f>ROUND(J21-H21,2)</f>
        <v/>
      </c>
      <c r="L21">
        <f>IF(ABS(K21)&lt;=0.01,"OK","CHECK")</f>
        <v/>
      </c>
      <c r="M21" s="10">
        <f>IF(B21&gt;0,(B21+D21+E21-F21-G21)/B21,"")</f>
        <v/>
      </c>
      <c r="N21" s="10">
        <f>IF(B21&gt;0,(B21-F21-G21)/B21,"")</f>
        <v/>
      </c>
      <c r="O21" s="9">
        <f>H21*12</f>
        <v/>
      </c>
      <c r="P21">
        <f>IF(ABS(B21-H20)&lt;=0.01,"OK","CHECK")</f>
        <v/>
      </c>
    </row>
    <row r="22">
      <c r="A22" s="8" t="n">
        <v>45444</v>
      </c>
      <c r="B22" s="9" t="n">
        <v>1032953.46</v>
      </c>
      <c r="C22" s="9" t="n">
        <v>37197.75</v>
      </c>
      <c r="D22" s="9" t="n">
        <v>11741.02</v>
      </c>
      <c r="E22" s="9" t="n">
        <v>0</v>
      </c>
      <c r="F22" s="9" t="n">
        <v>3628.45</v>
      </c>
      <c r="G22" s="9" t="n">
        <v>11506.36</v>
      </c>
      <c r="H22" s="9" t="n">
        <v>1066757.42</v>
      </c>
      <c r="I22" s="9">
        <f>C22+D22+E22-F22-G22</f>
        <v/>
      </c>
      <c r="J22" s="9">
        <f>B22+I22</f>
        <v/>
      </c>
      <c r="K22" s="9">
        <f>ROUND(J22-H22,2)</f>
        <v/>
      </c>
      <c r="L22">
        <f>IF(ABS(K22)&lt;=0.01,"OK","CHECK")</f>
        <v/>
      </c>
      <c r="M22" s="10">
        <f>IF(B22&gt;0,(B22+D22+E22-F22-G22)/B22,"")</f>
        <v/>
      </c>
      <c r="N22" s="10">
        <f>IF(B22&gt;0,(B22-F22-G22)/B22,"")</f>
        <v/>
      </c>
      <c r="O22" s="9">
        <f>H22*12</f>
        <v/>
      </c>
      <c r="P22">
        <f>IF(ABS(B22-H21)&lt;=0.01,"OK","CHECK")</f>
        <v/>
      </c>
    </row>
    <row r="23">
      <c r="A23" s="8" t="n">
        <v>45474</v>
      </c>
      <c r="B23" s="9" t="n">
        <v>1066757.42</v>
      </c>
      <c r="C23" s="9" t="n">
        <v>52267.5</v>
      </c>
      <c r="D23" s="9" t="n">
        <v>17411.98</v>
      </c>
      <c r="E23" s="9" t="n">
        <v>0</v>
      </c>
      <c r="F23" s="9" t="n">
        <v>1126.49</v>
      </c>
      <c r="G23" s="9" t="n">
        <v>3535.28</v>
      </c>
      <c r="H23" s="9" t="n">
        <v>1131775.13</v>
      </c>
      <c r="I23" s="9">
        <f>C23+D23+E23-F23-G23</f>
        <v/>
      </c>
      <c r="J23" s="9">
        <f>B23+I23</f>
        <v/>
      </c>
      <c r="K23" s="9">
        <f>ROUND(J23-H23,2)</f>
        <v/>
      </c>
      <c r="L23">
        <f>IF(ABS(K23)&lt;=0.01,"OK","CHECK")</f>
        <v/>
      </c>
      <c r="M23" s="10">
        <f>IF(B23&gt;0,(B23+D23+E23-F23-G23)/B23,"")</f>
        <v/>
      </c>
      <c r="N23" s="10">
        <f>IF(B23&gt;0,(B23-F23-G23)/B23,"")</f>
        <v/>
      </c>
      <c r="O23" s="9">
        <f>H23*12</f>
        <v/>
      </c>
      <c r="P23">
        <f>IF(ABS(B23-H22)&lt;=0.01,"OK","CHECK")</f>
        <v/>
      </c>
    </row>
    <row r="24">
      <c r="A24" s="8" t="n">
        <v>45505</v>
      </c>
      <c r="B24" s="9" t="n">
        <v>1131775.13</v>
      </c>
      <c r="C24" s="9" t="n">
        <v>60384.9</v>
      </c>
      <c r="D24" s="9" t="n">
        <v>13292.52</v>
      </c>
      <c r="E24" s="9" t="n">
        <v>0</v>
      </c>
      <c r="F24" s="9" t="n">
        <v>3230.4</v>
      </c>
      <c r="G24" s="9" t="n">
        <v>3472.04</v>
      </c>
      <c r="H24" s="9" t="n">
        <v>1198750.11</v>
      </c>
      <c r="I24" s="9">
        <f>C24+D24+E24-F24-G24</f>
        <v/>
      </c>
      <c r="J24" s="9">
        <f>B24+I24</f>
        <v/>
      </c>
      <c r="K24" s="9">
        <f>ROUND(J24-H24,2)</f>
        <v/>
      </c>
      <c r="L24">
        <f>IF(ABS(K24)&lt;=0.01,"OK","CHECK")</f>
        <v/>
      </c>
      <c r="M24" s="10">
        <f>IF(B24&gt;0,(B24+D24+E24-F24-G24)/B24,"")</f>
        <v/>
      </c>
      <c r="N24" s="10">
        <f>IF(B24&gt;0,(B24-F24-G24)/B24,"")</f>
        <v/>
      </c>
      <c r="O24" s="9">
        <f>H24*12</f>
        <v/>
      </c>
      <c r="P24">
        <f>IF(ABS(B24-H23)&lt;=0.01,"OK","CHECK")</f>
        <v/>
      </c>
    </row>
    <row r="25">
      <c r="A25" s="8" t="n">
        <v>45536</v>
      </c>
      <c r="B25" s="9" t="n">
        <v>1198750.11</v>
      </c>
      <c r="C25" s="9" t="n">
        <v>98271.45</v>
      </c>
      <c r="D25" s="9" t="n">
        <v>10149.75</v>
      </c>
      <c r="E25" s="9" t="n">
        <v>0</v>
      </c>
      <c r="F25" s="9" t="n">
        <v>888.02</v>
      </c>
      <c r="G25" s="9" t="n">
        <v>16981</v>
      </c>
      <c r="H25" s="9" t="n">
        <v>1289302.29</v>
      </c>
      <c r="I25" s="9">
        <f>C25+D25+E25-F25-G25</f>
        <v/>
      </c>
      <c r="J25" s="9">
        <f>B25+I25</f>
        <v/>
      </c>
      <c r="K25" s="9">
        <f>ROUND(J25-H25,2)</f>
        <v/>
      </c>
      <c r="L25">
        <f>IF(ABS(K25)&lt;=0.01,"OK","CHECK")</f>
        <v/>
      </c>
      <c r="M25" s="10">
        <f>IF(B25&gt;0,(B25+D25+E25-F25-G25)/B25,"")</f>
        <v/>
      </c>
      <c r="N25" s="10">
        <f>IF(B25&gt;0,(B25-F25-G25)/B25,"")</f>
        <v/>
      </c>
      <c r="O25" s="9">
        <f>H25*12</f>
        <v/>
      </c>
      <c r="P25">
        <f>IF(ABS(B25-H24)&lt;=0.01,"OK","CHECK")</f>
        <v/>
      </c>
    </row>
    <row r="26">
      <c r="A26" s="8" t="n">
        <v>45566</v>
      </c>
      <c r="B26" s="9" t="n">
        <v>1289302.29</v>
      </c>
      <c r="C26" s="9" t="n">
        <v>58308.4</v>
      </c>
      <c r="D26" s="9" t="n">
        <v>6260.31</v>
      </c>
      <c r="E26" s="9" t="n">
        <v>0</v>
      </c>
      <c r="F26" s="9" t="n">
        <v>9908.58</v>
      </c>
      <c r="G26" s="9" t="n">
        <v>10929.55</v>
      </c>
      <c r="H26" s="9" t="n">
        <v>1333032.87</v>
      </c>
      <c r="I26" s="9">
        <f>C26+D26+E26-F26-G26</f>
        <v/>
      </c>
      <c r="J26" s="9">
        <f>B26+I26</f>
        <v/>
      </c>
      <c r="K26" s="9">
        <f>ROUND(J26-H26,2)</f>
        <v/>
      </c>
      <c r="L26">
        <f>IF(ABS(K26)&lt;=0.01,"OK","CHECK")</f>
        <v/>
      </c>
      <c r="M26" s="10">
        <f>IF(B26&gt;0,(B26+D26+E26-F26-G26)/B26,"")</f>
        <v/>
      </c>
      <c r="N26" s="10">
        <f>IF(B26&gt;0,(B26-F26-G26)/B26,"")</f>
        <v/>
      </c>
      <c r="O26" s="9">
        <f>H26*12</f>
        <v/>
      </c>
      <c r="P26">
        <f>IF(ABS(B26-H25)&lt;=0.01,"OK","CHECK")</f>
        <v/>
      </c>
    </row>
    <row r="27">
      <c r="A27" s="8" t="n">
        <v>45597</v>
      </c>
      <c r="B27" s="9" t="n">
        <v>1333032.87</v>
      </c>
      <c r="C27" s="9" t="n">
        <v>82906.14999999999</v>
      </c>
      <c r="D27" s="9" t="n">
        <v>13303.77</v>
      </c>
      <c r="E27" s="9" t="n">
        <v>0</v>
      </c>
      <c r="F27" s="9" t="n">
        <v>9213.879999999999</v>
      </c>
      <c r="G27" s="9" t="n">
        <v>17293.67</v>
      </c>
      <c r="H27" s="9" t="n">
        <v>1402735.24</v>
      </c>
      <c r="I27" s="9">
        <f>C27+D27+E27-F27-G27</f>
        <v/>
      </c>
      <c r="J27" s="9">
        <f>B27+I27</f>
        <v/>
      </c>
      <c r="K27" s="9">
        <f>ROUND(J27-H27,2)</f>
        <v/>
      </c>
      <c r="L27">
        <f>IF(ABS(K27)&lt;=0.01,"OK","CHECK")</f>
        <v/>
      </c>
      <c r="M27" s="10">
        <f>IF(B27&gt;0,(B27+D27+E27-F27-G27)/B27,"")</f>
        <v/>
      </c>
      <c r="N27" s="10">
        <f>IF(B27&gt;0,(B27-F27-G27)/B27,"")</f>
        <v/>
      </c>
      <c r="O27" s="9">
        <f>H27*12</f>
        <v/>
      </c>
      <c r="P27">
        <f>IF(ABS(B27-H26)&lt;=0.01,"OK","CHECK")</f>
        <v/>
      </c>
    </row>
    <row r="28">
      <c r="A28" s="8" t="n">
        <v>45627</v>
      </c>
      <c r="B28" s="9" t="n">
        <v>1402735.24</v>
      </c>
      <c r="C28" s="9" t="n">
        <v>80551.55</v>
      </c>
      <c r="D28" s="9" t="n">
        <v>16453.11</v>
      </c>
      <c r="E28" s="9" t="n">
        <v>0</v>
      </c>
      <c r="F28" s="9" t="n">
        <v>5875.23</v>
      </c>
      <c r="G28" s="9" t="n">
        <v>25265.93</v>
      </c>
      <c r="H28" s="9" t="n">
        <v>1468598.74</v>
      </c>
      <c r="I28" s="9">
        <f>C28+D28+E28-F28-G28</f>
        <v/>
      </c>
      <c r="J28" s="9">
        <f>B28+I28</f>
        <v/>
      </c>
      <c r="K28" s="9">
        <f>ROUND(J28-H28,2)</f>
        <v/>
      </c>
      <c r="L28">
        <f>IF(ABS(K28)&lt;=0.01,"OK","CHECK")</f>
        <v/>
      </c>
      <c r="M28" s="10">
        <f>IF(B28&gt;0,(B28+D28+E28-F28-G28)/B28,"")</f>
        <v/>
      </c>
      <c r="N28" s="10">
        <f>IF(B28&gt;0,(B28-F28-G28)/B28,"")</f>
        <v/>
      </c>
      <c r="O28" s="9">
        <f>H28*12</f>
        <v/>
      </c>
      <c r="P28">
        <f>IF(ABS(B28-H27)&lt;=0.01,"OK","CHECK")</f>
        <v/>
      </c>
    </row>
    <row r="29">
      <c r="A29" s="8" t="n">
        <v>45658</v>
      </c>
      <c r="B29" s="9" t="n">
        <v>1468598.74</v>
      </c>
      <c r="C29" s="9" t="n">
        <v>56336.2</v>
      </c>
      <c r="D29" s="9" t="n">
        <v>15162.06</v>
      </c>
      <c r="E29" s="9" t="n">
        <v>0</v>
      </c>
      <c r="F29" s="9" t="n">
        <v>6679.55</v>
      </c>
      <c r="G29" s="9" t="n">
        <v>5658.81</v>
      </c>
      <c r="H29" s="9" t="n">
        <v>1527758.64</v>
      </c>
      <c r="I29" s="9">
        <f>C29+D29+E29-F29-G29</f>
        <v/>
      </c>
      <c r="J29" s="9">
        <f>B29+I29</f>
        <v/>
      </c>
      <c r="K29" s="9">
        <f>ROUND(J29-H29,2)</f>
        <v/>
      </c>
      <c r="L29">
        <f>IF(ABS(K29)&lt;=0.01,"OK","CHECK")</f>
        <v/>
      </c>
      <c r="M29" s="10">
        <f>IF(B29&gt;0,(B29+D29+E29-F29-G29)/B29,"")</f>
        <v/>
      </c>
      <c r="N29" s="10">
        <f>IF(B29&gt;0,(B29-F29-G29)/B29,"")</f>
        <v/>
      </c>
      <c r="O29" s="9">
        <f>H29*12</f>
        <v/>
      </c>
      <c r="P29">
        <f>IF(ABS(B29-H28)&lt;=0.01,"OK","CHECK")</f>
        <v/>
      </c>
    </row>
    <row r="30">
      <c r="A30" s="8" t="n">
        <v>45689</v>
      </c>
      <c r="B30" s="9" t="n">
        <v>1527758.64</v>
      </c>
      <c r="C30" s="9" t="n">
        <v>34956.05</v>
      </c>
      <c r="D30" s="9" t="n">
        <v>18253.12</v>
      </c>
      <c r="E30" s="9" t="n">
        <v>0</v>
      </c>
      <c r="F30" s="9" t="n">
        <v>6950.77</v>
      </c>
      <c r="G30" s="9" t="n">
        <v>2561.94</v>
      </c>
      <c r="H30" s="9" t="n">
        <v>1571455.1</v>
      </c>
      <c r="I30" s="9">
        <f>C30+D30+E30-F30-G30</f>
        <v/>
      </c>
      <c r="J30" s="9">
        <f>B30+I30</f>
        <v/>
      </c>
      <c r="K30" s="9">
        <f>ROUND(J30-H30,2)</f>
        <v/>
      </c>
      <c r="L30">
        <f>IF(ABS(K30)&lt;=0.01,"OK","CHECK")</f>
        <v/>
      </c>
      <c r="M30" s="10">
        <f>IF(B30&gt;0,(B30+D30+E30-F30-G30)/B30,"")</f>
        <v/>
      </c>
      <c r="N30" s="10">
        <f>IF(B30&gt;0,(B30-F30-G30)/B30,"")</f>
        <v/>
      </c>
      <c r="O30" s="9">
        <f>H30*12</f>
        <v/>
      </c>
      <c r="P30">
        <f>IF(ABS(B30-H29)&lt;=0.01,"OK","CHECK")</f>
        <v/>
      </c>
    </row>
    <row r="31">
      <c r="A31" s="8" t="n">
        <v>45717</v>
      </c>
      <c r="B31" s="9" t="n">
        <v>1571455.1</v>
      </c>
      <c r="C31" s="9" t="n">
        <v>65008.8</v>
      </c>
      <c r="D31" s="9" t="n">
        <v>22016.02</v>
      </c>
      <c r="E31" s="9" t="n">
        <v>0</v>
      </c>
      <c r="F31" s="9" t="n">
        <v>389.48</v>
      </c>
      <c r="G31" s="9" t="n">
        <v>7630.73</v>
      </c>
      <c r="H31" s="9" t="n">
        <v>1650459.71</v>
      </c>
      <c r="I31" s="9">
        <f>C31+D31+E31-F31-G31</f>
        <v/>
      </c>
      <c r="J31" s="9">
        <f>B31+I31</f>
        <v/>
      </c>
      <c r="K31" s="9">
        <f>ROUND(J31-H31,2)</f>
        <v/>
      </c>
      <c r="L31">
        <f>IF(ABS(K31)&lt;=0.01,"OK","CHECK")</f>
        <v/>
      </c>
      <c r="M31" s="10">
        <f>IF(B31&gt;0,(B31+D31+E31-F31-G31)/B31,"")</f>
        <v/>
      </c>
      <c r="N31" s="10">
        <f>IF(B31&gt;0,(B31-F31-G31)/B31,"")</f>
        <v/>
      </c>
      <c r="O31" s="9">
        <f>H31*12</f>
        <v/>
      </c>
      <c r="P31">
        <f>IF(ABS(B31-H30)&lt;=0.01,"OK","CHECK")</f>
        <v/>
      </c>
    </row>
    <row r="32">
      <c r="A32" s="8" t="n">
        <v>45748</v>
      </c>
      <c r="B32" s="9" t="n">
        <v>1650459.71</v>
      </c>
      <c r="C32" s="9" t="n">
        <v>51228.8</v>
      </c>
      <c r="D32" s="9" t="n">
        <v>13987.79</v>
      </c>
      <c r="E32" s="9" t="n">
        <v>0</v>
      </c>
      <c r="F32" s="9" t="n">
        <v>14845.24</v>
      </c>
      <c r="G32" s="9" t="n">
        <v>3710.22</v>
      </c>
      <c r="H32" s="9" t="n">
        <v>1697120.84</v>
      </c>
      <c r="I32" s="9">
        <f>C32+D32+E32-F32-G32</f>
        <v/>
      </c>
      <c r="J32" s="9">
        <f>B32+I32</f>
        <v/>
      </c>
      <c r="K32" s="9">
        <f>ROUND(J32-H32,2)</f>
        <v/>
      </c>
      <c r="L32">
        <f>IF(ABS(K32)&lt;=0.01,"OK","CHECK")</f>
        <v/>
      </c>
      <c r="M32" s="10">
        <f>IF(B32&gt;0,(B32+D32+E32-F32-G32)/B32,"")</f>
        <v/>
      </c>
      <c r="N32" s="10">
        <f>IF(B32&gt;0,(B32-F32-G32)/B32,"")</f>
        <v/>
      </c>
      <c r="O32" s="9">
        <f>H32*12</f>
        <v/>
      </c>
      <c r="P32">
        <f>IF(ABS(B32-H31)&lt;=0.01,"OK","CHECK")</f>
        <v/>
      </c>
    </row>
    <row r="33">
      <c r="A33" s="8" t="n">
        <v>45778</v>
      </c>
      <c r="B33" s="9" t="n">
        <v>1697120.84</v>
      </c>
      <c r="C33" s="9" t="n">
        <v>90603.95</v>
      </c>
      <c r="D33" s="9" t="n">
        <v>11788.6</v>
      </c>
      <c r="E33" s="9" t="n">
        <v>0</v>
      </c>
      <c r="F33" s="9" t="n">
        <v>4723.7</v>
      </c>
      <c r="G33" s="9" t="n">
        <v>4473.86</v>
      </c>
      <c r="H33" s="9" t="n">
        <v>1790315.83</v>
      </c>
      <c r="I33" s="9">
        <f>C33+D33+E33-F33-G33</f>
        <v/>
      </c>
      <c r="J33" s="9">
        <f>B33+I33</f>
        <v/>
      </c>
      <c r="K33" s="9">
        <f>ROUND(J33-H33,2)</f>
        <v/>
      </c>
      <c r="L33">
        <f>IF(ABS(K33)&lt;=0.01,"OK","CHECK")</f>
        <v/>
      </c>
      <c r="M33" s="10">
        <f>IF(B33&gt;0,(B33+D33+E33-F33-G33)/B33,"")</f>
        <v/>
      </c>
      <c r="N33" s="10">
        <f>IF(B33&gt;0,(B33-F33-G33)/B33,"")</f>
        <v/>
      </c>
      <c r="O33" s="9">
        <f>H33*12</f>
        <v/>
      </c>
      <c r="P33">
        <f>IF(ABS(B33-H32)&lt;=0.01,"OK","CHECK")</f>
        <v/>
      </c>
    </row>
    <row r="34">
      <c r="A34" s="8" t="n">
        <v>45809</v>
      </c>
      <c r="B34" s="9" t="n">
        <v>1790315.83</v>
      </c>
      <c r="C34" s="9" t="n">
        <v>80773.95</v>
      </c>
      <c r="D34" s="9" t="n">
        <v>13472.49</v>
      </c>
      <c r="E34" s="9" t="n">
        <v>0</v>
      </c>
      <c r="F34" s="9" t="n">
        <v>2178.82</v>
      </c>
      <c r="G34" s="9" t="n">
        <v>40862.45</v>
      </c>
      <c r="H34" s="9" t="n">
        <v>1841521</v>
      </c>
      <c r="I34" s="9">
        <f>C34+D34+E34-F34-G34</f>
        <v/>
      </c>
      <c r="J34" s="9">
        <f>B34+I34</f>
        <v/>
      </c>
      <c r="K34" s="9">
        <f>ROUND(J34-H34,2)</f>
        <v/>
      </c>
      <c r="L34">
        <f>IF(ABS(K34)&lt;=0.01,"OK","CHECK")</f>
        <v/>
      </c>
      <c r="M34" s="10">
        <f>IF(B34&gt;0,(B34+D34+E34-F34-G34)/B34,"")</f>
        <v/>
      </c>
      <c r="N34" s="10">
        <f>IF(B34&gt;0,(B34-F34-G34)/B34,"")</f>
        <v/>
      </c>
      <c r="O34" s="9">
        <f>H34*12</f>
        <v/>
      </c>
      <c r="P34">
        <f>IF(ABS(B34-H33)&lt;=0.01,"OK","CHECK")</f>
        <v/>
      </c>
    </row>
    <row r="35">
      <c r="A35" s="8" t="n">
        <v>45839</v>
      </c>
      <c r="B35" s="9" t="n">
        <v>1841521</v>
      </c>
      <c r="C35" s="9" t="n">
        <v>91799.64999999999</v>
      </c>
      <c r="D35" s="9" t="n">
        <v>12988.37</v>
      </c>
      <c r="E35" s="9" t="n">
        <v>0</v>
      </c>
      <c r="F35" s="9" t="n">
        <v>5707.25</v>
      </c>
      <c r="G35" s="9" t="n">
        <v>3530.74</v>
      </c>
      <c r="H35" s="9" t="n">
        <v>1937071.03</v>
      </c>
      <c r="I35" s="9">
        <f>C35+D35+E35-F35-G35</f>
        <v/>
      </c>
      <c r="J35" s="9">
        <f>B35+I35</f>
        <v/>
      </c>
      <c r="K35" s="9">
        <f>ROUND(J35-H35,2)</f>
        <v/>
      </c>
      <c r="L35">
        <f>IF(ABS(K35)&lt;=0.01,"OK","CHECK")</f>
        <v/>
      </c>
      <c r="M35" s="10">
        <f>IF(B35&gt;0,(B35+D35+E35-F35-G35)/B35,"")</f>
        <v/>
      </c>
      <c r="N35" s="10">
        <f>IF(B35&gt;0,(B35-F35-G35)/B35,"")</f>
        <v/>
      </c>
      <c r="O35" s="9">
        <f>H35*12</f>
        <v/>
      </c>
      <c r="P35">
        <f>IF(ABS(B35-H34)&lt;=0.01,"OK","CHECK")</f>
        <v/>
      </c>
    </row>
    <row r="36">
      <c r="A36" s="8" t="n">
        <v>45870</v>
      </c>
      <c r="B36" s="9" t="n">
        <v>1937071.03</v>
      </c>
      <c r="C36" s="9" t="n">
        <v>54725.8</v>
      </c>
      <c r="D36" s="9" t="n">
        <v>18212</v>
      </c>
      <c r="E36" s="9" t="n">
        <v>0</v>
      </c>
      <c r="F36" s="9" t="n">
        <v>4724.89</v>
      </c>
      <c r="G36" s="9" t="n">
        <v>1506.9</v>
      </c>
      <c r="H36" s="9" t="n">
        <v>2003777.04</v>
      </c>
      <c r="I36" s="9">
        <f>C36+D36+E36-F36-G36</f>
        <v/>
      </c>
      <c r="J36" s="9">
        <f>B36+I36</f>
        <v/>
      </c>
      <c r="K36" s="9">
        <f>ROUND(J36-H36,2)</f>
        <v/>
      </c>
      <c r="L36">
        <f>IF(ABS(K36)&lt;=0.01,"OK","CHECK")</f>
        <v/>
      </c>
      <c r="M36" s="10">
        <f>IF(B36&gt;0,(B36+D36+E36-F36-G36)/B36,"")</f>
        <v/>
      </c>
      <c r="N36" s="10">
        <f>IF(B36&gt;0,(B36-F36-G36)/B36,"")</f>
        <v/>
      </c>
      <c r="O36" s="9">
        <f>H36*12</f>
        <v/>
      </c>
      <c r="P36">
        <f>IF(ABS(B36-H35)&lt;=0.01,"OK","CHECK")</f>
        <v/>
      </c>
    </row>
    <row r="37">
      <c r="A37" s="8" t="n">
        <v>45901</v>
      </c>
      <c r="B37" s="9" t="n">
        <v>2003777.04</v>
      </c>
      <c r="C37" s="9" t="n">
        <v>43936.7</v>
      </c>
      <c r="D37" s="9" t="n">
        <v>14514.91</v>
      </c>
      <c r="E37" s="9" t="n">
        <v>0</v>
      </c>
      <c r="F37" s="9" t="n">
        <v>7561.27</v>
      </c>
      <c r="G37" s="9" t="n">
        <v>4160.51</v>
      </c>
      <c r="H37" s="9" t="n">
        <v>2050506.87</v>
      </c>
      <c r="I37" s="9">
        <f>C37+D37+E37-F37-G37</f>
        <v/>
      </c>
      <c r="J37" s="9">
        <f>B37+I37</f>
        <v/>
      </c>
      <c r="K37" s="9">
        <f>ROUND(J37-H37,2)</f>
        <v/>
      </c>
      <c r="L37">
        <f>IF(ABS(K37)&lt;=0.01,"OK","CHECK")</f>
        <v/>
      </c>
      <c r="M37" s="10">
        <f>IF(B37&gt;0,(B37+D37+E37-F37-G37)/B37,"")</f>
        <v/>
      </c>
      <c r="N37" s="10">
        <f>IF(B37&gt;0,(B37-F37-G37)/B37,"")</f>
        <v/>
      </c>
      <c r="O37" s="9">
        <f>H37*12</f>
        <v/>
      </c>
      <c r="P37">
        <f>IF(ABS(B37-H36)&lt;=0.01,"OK","CHECK")</f>
        <v/>
      </c>
    </row>
    <row r="38">
      <c r="A38" s="8" t="n">
        <v>45931</v>
      </c>
      <c r="B38" s="9" t="n">
        <v>2050506.87</v>
      </c>
      <c r="C38" s="9" t="n">
        <v>62841.65</v>
      </c>
      <c r="D38" s="9" t="n">
        <v>27349.2</v>
      </c>
      <c r="E38" s="9" t="n">
        <v>0</v>
      </c>
      <c r="F38" s="9" t="n">
        <v>10481.03</v>
      </c>
      <c r="G38" s="9" t="n">
        <v>7601.64</v>
      </c>
      <c r="H38" s="9" t="n">
        <v>2122615.05</v>
      </c>
      <c r="I38" s="9">
        <f>C38+D38+E38-F38-G38</f>
        <v/>
      </c>
      <c r="J38" s="9">
        <f>B38+I38</f>
        <v/>
      </c>
      <c r="K38" s="9">
        <f>ROUND(J38-H38,2)</f>
        <v/>
      </c>
      <c r="L38">
        <f>IF(ABS(K38)&lt;=0.01,"OK","CHECK")</f>
        <v/>
      </c>
      <c r="M38" s="10">
        <f>IF(B38&gt;0,(B38+D38+E38-F38-G38)/B38,"")</f>
        <v/>
      </c>
      <c r="N38" s="10">
        <f>IF(B38&gt;0,(B38-F38-G38)/B38,"")</f>
        <v/>
      </c>
      <c r="O38" s="9">
        <f>H38*12</f>
        <v/>
      </c>
      <c r="P38">
        <f>IF(ABS(B38-H37)&lt;=0.01,"OK","CHECK")</f>
        <v/>
      </c>
    </row>
    <row r="39">
      <c r="A39" s="8" t="n">
        <v>45962</v>
      </c>
      <c r="B39" s="9" t="n">
        <v>2122615.05</v>
      </c>
      <c r="C39" s="9" t="n">
        <v>39922.55</v>
      </c>
      <c r="D39" s="9" t="n">
        <v>21904.89</v>
      </c>
      <c r="E39" s="9" t="n">
        <v>0</v>
      </c>
      <c r="F39" s="9" t="n">
        <v>7527.96</v>
      </c>
      <c r="G39" s="9" t="n">
        <v>2597.89</v>
      </c>
      <c r="H39" s="9" t="n">
        <v>2174316.64</v>
      </c>
      <c r="I39" s="9">
        <f>C39+D39+E39-F39-G39</f>
        <v/>
      </c>
      <c r="J39" s="9">
        <f>B39+I39</f>
        <v/>
      </c>
      <c r="K39" s="9">
        <f>ROUND(J39-H39,2)</f>
        <v/>
      </c>
      <c r="L39">
        <f>IF(ABS(K39)&lt;=0.01,"OK","CHECK")</f>
        <v/>
      </c>
      <c r="M39" s="10">
        <f>IF(B39&gt;0,(B39+D39+E39-F39-G39)/B39,"")</f>
        <v/>
      </c>
      <c r="N39" s="10">
        <f>IF(B39&gt;0,(B39-F39-G39)/B39,"")</f>
        <v/>
      </c>
      <c r="O39" s="9">
        <f>H39*12</f>
        <v/>
      </c>
      <c r="P39">
        <f>IF(ABS(B39-H38)&lt;=0.01,"OK","CHECK")</f>
        <v/>
      </c>
    </row>
    <row r="40">
      <c r="A40" s="8" t="n">
        <v>45992</v>
      </c>
      <c r="B40" s="9" t="n">
        <v>2174316.64</v>
      </c>
      <c r="C40" s="9" t="n">
        <v>61123.55</v>
      </c>
      <c r="D40" s="9" t="n">
        <v>17342.09</v>
      </c>
      <c r="E40" s="9" t="n">
        <v>0</v>
      </c>
      <c r="F40" s="9" t="n">
        <v>2929.51</v>
      </c>
      <c r="G40" s="9" t="n">
        <v>335100.15</v>
      </c>
      <c r="H40" s="9" t="n">
        <v>1914752.62</v>
      </c>
      <c r="I40" s="9">
        <f>C40+D40+E40-F40-G40</f>
        <v/>
      </c>
      <c r="J40" s="9">
        <f>B40+I40</f>
        <v/>
      </c>
      <c r="K40" s="9">
        <f>ROUND(J40-H40,2)</f>
        <v/>
      </c>
      <c r="L40">
        <f>IF(ABS(K40)&lt;=0.01,"OK","CHECK")</f>
        <v/>
      </c>
      <c r="M40" s="10">
        <f>IF(B40&gt;0,(B40+D40+E40-F40-G40)/B40,"")</f>
        <v/>
      </c>
      <c r="N40" s="10">
        <f>IF(B40&gt;0,(B40-F40-G40)/B40,"")</f>
        <v/>
      </c>
      <c r="O40" s="9">
        <f>H40*12</f>
        <v/>
      </c>
      <c r="P40">
        <f>IF(ABS(B40-H39)&lt;=0.01,"OK","CHECK")</f>
        <v/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0"/>
  <pageMargins left="0.4" right="0.4" top="1" bottom="1" header="0.5" footer="0.5"/>
  <pageSetup orientation="landscape" paperSize="1" fitToHeight="0" fitToWidth="1"/>
  <headerFooter>
    <oddHeader>&amp;L&amp;9 SaaS Revenue Intelligence | MRR, Retention &amp;&amp; Billing Controls&amp;R&amp;9 MRR Bridge</oddHeader>
    <oddFooter>&amp;L&amp;8 Synthetic data. Not real financial results.&amp;C&amp;8 Refreshed 2026-09-19 20:07 UTC&amp;R&amp;8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4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Invoice, payment, refund and revenue tie-out</t>
        </is>
      </c>
    </row>
    <row r="2">
      <c r="A2" t="inlineStr">
        <is>
          <t>Invoices must equal successful payments plus unpaid exposure. Recognized plus deferred must equal invoiced.</t>
        </is>
      </c>
    </row>
    <row r="4" ht="32" customHeight="1">
      <c r="A4" s="3" t="inlineStr">
        <is>
          <t>Invoice month</t>
        </is>
      </c>
      <c r="B4" s="3" t="inlineStr">
        <is>
          <t>Invoices</t>
        </is>
      </c>
      <c r="C4" s="3" t="inlineStr">
        <is>
          <t>Invoiced</t>
        </is>
      </c>
      <c r="D4" s="3" t="inlineStr">
        <is>
          <t>Paid</t>
        </is>
      </c>
      <c r="E4" s="3" t="inlineStr">
        <is>
          <t>Unpaid (failed)</t>
        </is>
      </c>
      <c r="F4" s="3" t="inlineStr">
        <is>
          <t>Refunded</t>
        </is>
      </c>
      <c r="G4" s="3" t="inlineStr">
        <is>
          <t>Net cash (warehouse)</t>
        </is>
      </c>
      <c r="H4" s="3" t="inlineStr">
        <is>
          <t>Recognized</t>
        </is>
      </c>
      <c r="I4" s="3" t="inlineStr">
        <is>
          <t>Deferred</t>
        </is>
      </c>
      <c r="J4" s="3" t="inlineStr">
        <is>
          <t>Tie-out variance</t>
        </is>
      </c>
      <c r="K4" s="3" t="inlineStr">
        <is>
          <t>Net cash (calculated)</t>
        </is>
      </c>
      <c r="L4" s="3" t="inlineStr">
        <is>
          <t>Cash variance</t>
        </is>
      </c>
      <c r="M4" s="3" t="inlineStr">
        <is>
          <t>Revenue variance</t>
        </is>
      </c>
      <c r="N4" s="3" t="inlineStr">
        <is>
          <t>Reconciliation check</t>
        </is>
      </c>
    </row>
    <row r="5">
      <c r="A5" s="8" t="n">
        <v>44927</v>
      </c>
      <c r="B5" t="n">
        <v>17</v>
      </c>
      <c r="C5" s="9" t="n">
        <v>54743.25</v>
      </c>
      <c r="D5" s="9" t="n">
        <v>54743.25</v>
      </c>
      <c r="E5" s="9" t="n">
        <v>0</v>
      </c>
      <c r="F5" s="9" t="n">
        <v>337.73</v>
      </c>
      <c r="G5" s="9" t="n">
        <v>54405.52</v>
      </c>
      <c r="H5" s="9" t="n">
        <v>54743.25</v>
      </c>
      <c r="I5" s="9" t="n">
        <v>0</v>
      </c>
      <c r="J5" s="9">
        <f>ROUND(C5-D5-E5,2)</f>
        <v/>
      </c>
      <c r="K5" s="9">
        <f>D5-F5</f>
        <v/>
      </c>
      <c r="L5" s="9">
        <f>ROUND(K5-G5,2)</f>
        <v/>
      </c>
      <c r="M5" s="9">
        <f>ROUND(C5-H5-I5,2)</f>
        <v/>
      </c>
      <c r="N5">
        <f>IF(AND(ABS(J5)&lt;=0.01,ABS(L5)&lt;=0.01,ABS(M5)&lt;=0.01),"OK","CHECK")</f>
        <v/>
      </c>
    </row>
    <row r="6">
      <c r="A6" s="8" t="n">
        <v>44958</v>
      </c>
      <c r="B6" t="n">
        <v>55</v>
      </c>
      <c r="C6" s="9" t="n">
        <v>173378.4</v>
      </c>
      <c r="D6" s="9" t="n">
        <v>140669.25</v>
      </c>
      <c r="E6" s="9" t="n">
        <v>32709.15</v>
      </c>
      <c r="F6" s="9" t="n">
        <v>2346.75</v>
      </c>
      <c r="G6" s="9" t="n">
        <v>138322.5</v>
      </c>
      <c r="H6" s="9" t="n">
        <v>173378.4</v>
      </c>
      <c r="I6" s="9" t="n">
        <v>0</v>
      </c>
      <c r="J6" s="9">
        <f>ROUND(C6-D6-E6,2)</f>
        <v/>
      </c>
      <c r="K6" s="9">
        <f>D6-F6</f>
        <v/>
      </c>
      <c r="L6" s="9">
        <f>ROUND(K6-G6,2)</f>
        <v/>
      </c>
      <c r="M6" s="9">
        <f>ROUND(C6-H6-I6,2)</f>
        <v/>
      </c>
      <c r="N6">
        <f>IF(AND(ABS(J6)&lt;=0.01,ABS(L6)&lt;=0.01,ABS(M6)&lt;=0.01),"OK","CHECK")</f>
        <v/>
      </c>
    </row>
    <row r="7">
      <c r="A7" s="8" t="n">
        <v>44986</v>
      </c>
      <c r="B7" t="n">
        <v>83</v>
      </c>
      <c r="C7" s="9" t="n">
        <v>216666.86</v>
      </c>
      <c r="D7" s="9" t="n">
        <v>216198.86</v>
      </c>
      <c r="E7" s="9" t="n">
        <v>468</v>
      </c>
      <c r="F7" s="9" t="n">
        <v>515.48</v>
      </c>
      <c r="G7" s="9" t="n">
        <v>215683.38</v>
      </c>
      <c r="H7" s="9" t="n">
        <v>216666.86</v>
      </c>
      <c r="I7" s="9" t="n">
        <v>0</v>
      </c>
      <c r="J7" s="9">
        <f>ROUND(C7-D7-E7,2)</f>
        <v/>
      </c>
      <c r="K7" s="9">
        <f>D7-F7</f>
        <v/>
      </c>
      <c r="L7" s="9">
        <f>ROUND(K7-G7,2)</f>
        <v/>
      </c>
      <c r="M7" s="9">
        <f>ROUND(C7-H7-I7,2)</f>
        <v/>
      </c>
      <c r="N7">
        <f>IF(AND(ABS(J7)&lt;=0.01,ABS(L7)&lt;=0.01,ABS(M7)&lt;=0.01),"OK","CHECK")</f>
        <v/>
      </c>
    </row>
    <row r="8">
      <c r="A8" s="8" t="n">
        <v>45017</v>
      </c>
      <c r="B8" t="n">
        <v>113</v>
      </c>
      <c r="C8" s="9" t="n">
        <v>266760.43</v>
      </c>
      <c r="D8" s="9" t="n">
        <v>261490.38</v>
      </c>
      <c r="E8" s="9" t="n">
        <v>5270.05</v>
      </c>
      <c r="F8" s="9" t="n">
        <v>268.6</v>
      </c>
      <c r="G8" s="9" t="n">
        <v>261221.78</v>
      </c>
      <c r="H8" s="9" t="n">
        <v>266760.43</v>
      </c>
      <c r="I8" s="9" t="n">
        <v>0</v>
      </c>
      <c r="J8" s="9">
        <f>ROUND(C8-D8-E8,2)</f>
        <v/>
      </c>
      <c r="K8" s="9">
        <f>D8-F8</f>
        <v/>
      </c>
      <c r="L8" s="9">
        <f>ROUND(K8-G8,2)</f>
        <v/>
      </c>
      <c r="M8" s="9">
        <f>ROUND(C8-H8-I8,2)</f>
        <v/>
      </c>
      <c r="N8">
        <f>IF(AND(ABS(J8)&lt;=0.01,ABS(L8)&lt;=0.01,ABS(M8)&lt;=0.01),"OK","CHECK")</f>
        <v/>
      </c>
    </row>
    <row r="9">
      <c r="A9" s="8" t="n">
        <v>45047</v>
      </c>
      <c r="B9" t="n">
        <v>141</v>
      </c>
      <c r="C9" s="9" t="n">
        <v>342084.2</v>
      </c>
      <c r="D9" s="9" t="n">
        <v>323272.84</v>
      </c>
      <c r="E9" s="9" t="n">
        <v>18811.36</v>
      </c>
      <c r="F9" s="9" t="n">
        <v>2808.9</v>
      </c>
      <c r="G9" s="9" t="n">
        <v>320463.94</v>
      </c>
      <c r="H9" s="9" t="n">
        <v>342084.2</v>
      </c>
      <c r="I9" s="9" t="n">
        <v>0</v>
      </c>
      <c r="J9" s="9">
        <f>ROUND(C9-D9-E9,2)</f>
        <v/>
      </c>
      <c r="K9" s="9">
        <f>D9-F9</f>
        <v/>
      </c>
      <c r="L9" s="9">
        <f>ROUND(K9-G9,2)</f>
        <v/>
      </c>
      <c r="M9" s="9">
        <f>ROUND(C9-H9-I9,2)</f>
        <v/>
      </c>
      <c r="N9">
        <f>IF(AND(ABS(J9)&lt;=0.01,ABS(L9)&lt;=0.01,ABS(M9)&lt;=0.01),"OK","CHECK")</f>
        <v/>
      </c>
    </row>
    <row r="10">
      <c r="A10" s="8" t="n">
        <v>45078</v>
      </c>
      <c r="B10" t="n">
        <v>160</v>
      </c>
      <c r="C10" s="9" t="n">
        <v>368840.66</v>
      </c>
      <c r="D10" s="9" t="n">
        <v>345319.41</v>
      </c>
      <c r="E10" s="9" t="n">
        <v>23521.25</v>
      </c>
      <c r="F10" s="9" t="n">
        <v>340.13</v>
      </c>
      <c r="G10" s="9" t="n">
        <v>344979.28</v>
      </c>
      <c r="H10" s="9" t="n">
        <v>368840.66</v>
      </c>
      <c r="I10" s="9" t="n">
        <v>0</v>
      </c>
      <c r="J10" s="9">
        <f>ROUND(C10-D10-E10,2)</f>
        <v/>
      </c>
      <c r="K10" s="9">
        <f>D10-F10</f>
        <v/>
      </c>
      <c r="L10" s="9">
        <f>ROUND(K10-G10,2)</f>
        <v/>
      </c>
      <c r="M10" s="9">
        <f>ROUND(C10-H10-I10,2)</f>
        <v/>
      </c>
      <c r="N10">
        <f>IF(AND(ABS(J10)&lt;=0.01,ABS(L10)&lt;=0.01,ABS(M10)&lt;=0.01),"OK","CHECK")</f>
        <v/>
      </c>
    </row>
    <row r="11">
      <c r="A11" s="8" t="n">
        <v>45108</v>
      </c>
      <c r="B11" t="n">
        <v>191</v>
      </c>
      <c r="C11" s="9" t="n">
        <v>423532.58</v>
      </c>
      <c r="D11" s="9" t="n">
        <v>404785.47</v>
      </c>
      <c r="E11" s="9" t="n">
        <v>18747.11</v>
      </c>
      <c r="F11" s="9" t="n">
        <v>5248.42</v>
      </c>
      <c r="G11" s="9" t="n">
        <v>399537.05</v>
      </c>
      <c r="H11" s="9" t="n">
        <v>423532.58</v>
      </c>
      <c r="I11" s="9" t="n">
        <v>0</v>
      </c>
      <c r="J11" s="9">
        <f>ROUND(C11-D11-E11,2)</f>
        <v/>
      </c>
      <c r="K11" s="9">
        <f>D11-F11</f>
        <v/>
      </c>
      <c r="L11" s="9">
        <f>ROUND(K11-G11,2)</f>
        <v/>
      </c>
      <c r="M11" s="9">
        <f>ROUND(C11-H11-I11,2)</f>
        <v/>
      </c>
      <c r="N11">
        <f>IF(AND(ABS(J11)&lt;=0.01,ABS(L11)&lt;=0.01,ABS(M11)&lt;=0.01),"OK","CHECK")</f>
        <v/>
      </c>
    </row>
    <row r="12">
      <c r="A12" s="8" t="n">
        <v>45139</v>
      </c>
      <c r="B12" t="n">
        <v>220</v>
      </c>
      <c r="C12" s="9" t="n">
        <v>485101.69</v>
      </c>
      <c r="D12" s="9" t="n">
        <v>459542.12</v>
      </c>
      <c r="E12" s="9" t="n">
        <v>25559.57</v>
      </c>
      <c r="F12" s="9" t="n">
        <v>58.5</v>
      </c>
      <c r="G12" s="9" t="n">
        <v>459483.62</v>
      </c>
      <c r="H12" s="9" t="n">
        <v>485101.69</v>
      </c>
      <c r="I12" s="9" t="n">
        <v>0</v>
      </c>
      <c r="J12" s="9">
        <f>ROUND(C12-D12-E12,2)</f>
        <v/>
      </c>
      <c r="K12" s="9">
        <f>D12-F12</f>
        <v/>
      </c>
      <c r="L12" s="9">
        <f>ROUND(K12-G12,2)</f>
        <v/>
      </c>
      <c r="M12" s="9">
        <f>ROUND(C12-H12-I12,2)</f>
        <v/>
      </c>
      <c r="N12">
        <f>IF(AND(ABS(J12)&lt;=0.01,ABS(L12)&lt;=0.01,ABS(M12)&lt;=0.01),"OK","CHECK")</f>
        <v/>
      </c>
    </row>
    <row r="13">
      <c r="A13" s="8" t="n">
        <v>45170</v>
      </c>
      <c r="B13" t="n">
        <v>242</v>
      </c>
      <c r="C13" s="9" t="n">
        <v>527323.91</v>
      </c>
      <c r="D13" s="9" t="n">
        <v>515673.26</v>
      </c>
      <c r="E13" s="9" t="n">
        <v>11650.65</v>
      </c>
      <c r="F13" s="9" t="n">
        <v>842.65</v>
      </c>
      <c r="G13" s="9" t="n">
        <v>514830.61</v>
      </c>
      <c r="H13" s="9" t="n">
        <v>527323.91</v>
      </c>
      <c r="I13" s="9" t="n">
        <v>0</v>
      </c>
      <c r="J13" s="9">
        <f>ROUND(C13-D13-E13,2)</f>
        <v/>
      </c>
      <c r="K13" s="9">
        <f>D13-F13</f>
        <v/>
      </c>
      <c r="L13" s="9">
        <f>ROUND(K13-G13,2)</f>
        <v/>
      </c>
      <c r="M13" s="9">
        <f>ROUND(C13-H13-I13,2)</f>
        <v/>
      </c>
      <c r="N13">
        <f>IF(AND(ABS(J13)&lt;=0.01,ABS(L13)&lt;=0.01,ABS(M13)&lt;=0.01),"OK","CHECK")</f>
        <v/>
      </c>
    </row>
    <row r="14">
      <c r="A14" s="8" t="n">
        <v>45200</v>
      </c>
      <c r="B14" t="n">
        <v>267</v>
      </c>
      <c r="C14" s="9" t="n">
        <v>575330.6800000001</v>
      </c>
      <c r="D14" s="9" t="n">
        <v>569455.38</v>
      </c>
      <c r="E14" s="9" t="n">
        <v>5875.3</v>
      </c>
      <c r="F14" s="9" t="n">
        <v>344.44</v>
      </c>
      <c r="G14" s="9" t="n">
        <v>569110.9399999999</v>
      </c>
      <c r="H14" s="9" t="n">
        <v>575330.6800000001</v>
      </c>
      <c r="I14" s="9" t="n">
        <v>0</v>
      </c>
      <c r="J14" s="9">
        <f>ROUND(C14-D14-E14,2)</f>
        <v/>
      </c>
      <c r="K14" s="9">
        <f>D14-F14</f>
        <v/>
      </c>
      <c r="L14" s="9">
        <f>ROUND(K14-G14,2)</f>
        <v/>
      </c>
      <c r="M14" s="9">
        <f>ROUND(C14-H14-I14,2)</f>
        <v/>
      </c>
      <c r="N14">
        <f>IF(AND(ABS(J14)&lt;=0.01,ABS(L14)&lt;=0.01,ABS(M14)&lt;=0.01),"OK","CHECK")</f>
        <v/>
      </c>
    </row>
    <row r="15">
      <c r="A15" s="8" t="n">
        <v>45231</v>
      </c>
      <c r="B15" t="n">
        <v>282</v>
      </c>
      <c r="C15" s="9" t="n">
        <v>602450.79</v>
      </c>
      <c r="D15" s="9" t="n">
        <v>594870.58</v>
      </c>
      <c r="E15" s="9" t="n">
        <v>7580.21</v>
      </c>
      <c r="F15" s="9" t="n">
        <v>526.61</v>
      </c>
      <c r="G15" s="9" t="n">
        <v>594343.97</v>
      </c>
      <c r="H15" s="9" t="n">
        <v>602450.79</v>
      </c>
      <c r="I15" s="9" t="n">
        <v>0</v>
      </c>
      <c r="J15" s="9">
        <f>ROUND(C15-D15-E15,2)</f>
        <v/>
      </c>
      <c r="K15" s="9">
        <f>D15-F15</f>
        <v/>
      </c>
      <c r="L15" s="9">
        <f>ROUND(K15-G15,2)</f>
        <v/>
      </c>
      <c r="M15" s="9">
        <f>ROUND(C15-H15-I15,2)</f>
        <v/>
      </c>
      <c r="N15">
        <f>IF(AND(ABS(J15)&lt;=0.01,ABS(L15)&lt;=0.01,ABS(M15)&lt;=0.01),"OK","CHECK")</f>
        <v/>
      </c>
    </row>
    <row r="16">
      <c r="A16" s="8" t="n">
        <v>45261</v>
      </c>
      <c r="B16" t="n">
        <v>307</v>
      </c>
      <c r="C16" s="9" t="n">
        <v>628549.58</v>
      </c>
      <c r="D16" s="9" t="n">
        <v>581311.6800000001</v>
      </c>
      <c r="E16" s="9" t="n">
        <v>47237.9</v>
      </c>
      <c r="F16" s="9" t="n">
        <v>171.59</v>
      </c>
      <c r="G16" s="9" t="n">
        <v>581140.09</v>
      </c>
      <c r="H16" s="9" t="n">
        <v>628549.58</v>
      </c>
      <c r="I16" s="9" t="n">
        <v>0</v>
      </c>
      <c r="J16" s="9">
        <f>ROUND(C16-D16-E16,2)</f>
        <v/>
      </c>
      <c r="K16" s="9">
        <f>D16-F16</f>
        <v/>
      </c>
      <c r="L16" s="9">
        <f>ROUND(K16-G16,2)</f>
        <v/>
      </c>
      <c r="M16" s="9">
        <f>ROUND(C16-H16-I16,2)</f>
        <v/>
      </c>
      <c r="N16">
        <f>IF(AND(ABS(J16)&lt;=0.01,ABS(L16)&lt;=0.01,ABS(M16)&lt;=0.01),"OK","CHECK")</f>
        <v/>
      </c>
    </row>
    <row r="17">
      <c r="A17" s="8" t="n">
        <v>45292</v>
      </c>
      <c r="B17" t="n">
        <v>343</v>
      </c>
      <c r="C17" s="9" t="n">
        <v>728305.67</v>
      </c>
      <c r="D17" s="9" t="n">
        <v>710630.3199999999</v>
      </c>
      <c r="E17" s="9" t="n">
        <v>17675.35</v>
      </c>
      <c r="F17" s="9" t="n">
        <v>597.33</v>
      </c>
      <c r="G17" s="9" t="n">
        <v>710032.99</v>
      </c>
      <c r="H17" s="9" t="n">
        <v>728305.67</v>
      </c>
      <c r="I17" s="9" t="n">
        <v>0</v>
      </c>
      <c r="J17" s="9">
        <f>ROUND(C17-D17-E17,2)</f>
        <v/>
      </c>
      <c r="K17" s="9">
        <f>D17-F17</f>
        <v/>
      </c>
      <c r="L17" s="9">
        <f>ROUND(K17-G17,2)</f>
        <v/>
      </c>
      <c r="M17" s="9">
        <f>ROUND(C17-H17-I17,2)</f>
        <v/>
      </c>
      <c r="N17">
        <f>IF(AND(ABS(J17)&lt;=0.01,ABS(L17)&lt;=0.01,ABS(M17)&lt;=0.01),"OK","CHECK")</f>
        <v/>
      </c>
    </row>
    <row r="18">
      <c r="A18" s="8" t="n">
        <v>45323</v>
      </c>
      <c r="B18" t="n">
        <v>375</v>
      </c>
      <c r="C18" s="9" t="n">
        <v>853639.8199999999</v>
      </c>
      <c r="D18" s="9" t="n">
        <v>847685.47</v>
      </c>
      <c r="E18" s="9" t="n">
        <v>5954.35</v>
      </c>
      <c r="F18" s="9" t="n">
        <v>7715.17</v>
      </c>
      <c r="G18" s="9" t="n">
        <v>839970.3</v>
      </c>
      <c r="H18" s="9" t="n">
        <v>853639.8199999999</v>
      </c>
      <c r="I18" s="9" t="n">
        <v>0</v>
      </c>
      <c r="J18" s="9">
        <f>ROUND(C18-D18-E18,2)</f>
        <v/>
      </c>
      <c r="K18" s="9">
        <f>D18-F18</f>
        <v/>
      </c>
      <c r="L18" s="9">
        <f>ROUND(K18-G18,2)</f>
        <v/>
      </c>
      <c r="M18" s="9">
        <f>ROUND(C18-H18-I18,2)</f>
        <v/>
      </c>
      <c r="N18">
        <f>IF(AND(ABS(J18)&lt;=0.01,ABS(L18)&lt;=0.01,ABS(M18)&lt;=0.01),"OK","CHECK")</f>
        <v/>
      </c>
    </row>
    <row r="19">
      <c r="A19" s="8" t="n">
        <v>45352</v>
      </c>
      <c r="B19" t="n">
        <v>398</v>
      </c>
      <c r="C19" s="9" t="n">
        <v>925774.34</v>
      </c>
      <c r="D19" s="9" t="n">
        <v>885353.73</v>
      </c>
      <c r="E19" s="9" t="n">
        <v>40420.61</v>
      </c>
      <c r="F19" s="9" t="n">
        <v>1037.38</v>
      </c>
      <c r="G19" s="9" t="n">
        <v>884316.35</v>
      </c>
      <c r="H19" s="9" t="n">
        <v>925774.34</v>
      </c>
      <c r="I19" s="9" t="n">
        <v>0</v>
      </c>
      <c r="J19" s="9">
        <f>ROUND(C19-D19-E19,2)</f>
        <v/>
      </c>
      <c r="K19" s="9">
        <f>D19-F19</f>
        <v/>
      </c>
      <c r="L19" s="9">
        <f>ROUND(K19-G19,2)</f>
        <v/>
      </c>
      <c r="M19" s="9">
        <f>ROUND(C19-H19-I19,2)</f>
        <v/>
      </c>
      <c r="N19">
        <f>IF(AND(ABS(J19)&lt;=0.01,ABS(L19)&lt;=0.01,ABS(M19)&lt;=0.01),"OK","CHECK")</f>
        <v/>
      </c>
    </row>
    <row r="20">
      <c r="A20" s="8" t="n">
        <v>45383</v>
      </c>
      <c r="B20" t="n">
        <v>427</v>
      </c>
      <c r="C20" s="9" t="n">
        <v>963303.41</v>
      </c>
      <c r="D20" s="9" t="n">
        <v>920600.96</v>
      </c>
      <c r="E20" s="9" t="n">
        <v>42702.45</v>
      </c>
      <c r="F20" s="9" t="n">
        <v>3055.78</v>
      </c>
      <c r="G20" s="9" t="n">
        <v>917545.1800000001</v>
      </c>
      <c r="H20" s="9" t="n">
        <v>963303.41</v>
      </c>
      <c r="I20" s="9" t="n">
        <v>0</v>
      </c>
      <c r="J20" s="9">
        <f>ROUND(C20-D20-E20,2)</f>
        <v/>
      </c>
      <c r="K20" s="9">
        <f>D20-F20</f>
        <v/>
      </c>
      <c r="L20" s="9">
        <f>ROUND(K20-G20,2)</f>
        <v/>
      </c>
      <c r="M20" s="9">
        <f>ROUND(C20-H20-I20,2)</f>
        <v/>
      </c>
      <c r="N20">
        <f>IF(AND(ABS(J20)&lt;=0.01,ABS(L20)&lt;=0.01,ABS(M20)&lt;=0.01),"OK","CHECK")</f>
        <v/>
      </c>
    </row>
    <row r="21">
      <c r="A21" s="8" t="n">
        <v>45413</v>
      </c>
      <c r="B21" t="n">
        <v>461</v>
      </c>
      <c r="C21" s="9" t="n">
        <v>1035296.08</v>
      </c>
      <c r="D21" s="9" t="n">
        <v>999458.27</v>
      </c>
      <c r="E21" s="9" t="n">
        <v>35837.81</v>
      </c>
      <c r="F21" s="9" t="n">
        <v>1345.33</v>
      </c>
      <c r="G21" s="9" t="n">
        <v>998112.9399999999</v>
      </c>
      <c r="H21" s="9" t="n">
        <v>1035296.08</v>
      </c>
      <c r="I21" s="9" t="n">
        <v>0</v>
      </c>
      <c r="J21" s="9">
        <f>ROUND(C21-D21-E21,2)</f>
        <v/>
      </c>
      <c r="K21" s="9">
        <f>D21-F21</f>
        <v/>
      </c>
      <c r="L21" s="9">
        <f>ROUND(K21-G21,2)</f>
        <v/>
      </c>
      <c r="M21" s="9">
        <f>ROUND(C21-H21-I21,2)</f>
        <v/>
      </c>
      <c r="N21">
        <f>IF(AND(ABS(J21)&lt;=0.01,ABS(L21)&lt;=0.01,ABS(M21)&lt;=0.01),"OK","CHECK")</f>
        <v/>
      </c>
    </row>
    <row r="22">
      <c r="A22" s="8" t="n">
        <v>45444</v>
      </c>
      <c r="B22" t="n">
        <v>484</v>
      </c>
      <c r="C22" s="9" t="n">
        <v>1078369.33</v>
      </c>
      <c r="D22" s="9" t="n">
        <v>1064137.23</v>
      </c>
      <c r="E22" s="9" t="n">
        <v>14232.1</v>
      </c>
      <c r="F22" s="9" t="n">
        <v>4431.09</v>
      </c>
      <c r="G22" s="9" t="n">
        <v>1059706.14</v>
      </c>
      <c r="H22" s="9" t="n">
        <v>1078369.33</v>
      </c>
      <c r="I22" s="9" t="n">
        <v>0</v>
      </c>
      <c r="J22" s="9">
        <f>ROUND(C22-D22-E22,2)</f>
        <v/>
      </c>
      <c r="K22" s="9">
        <f>D22-F22</f>
        <v/>
      </c>
      <c r="L22" s="9">
        <f>ROUND(K22-G22,2)</f>
        <v/>
      </c>
      <c r="M22" s="9">
        <f>ROUND(C22-H22-I22,2)</f>
        <v/>
      </c>
      <c r="N22">
        <f>IF(AND(ABS(J22)&lt;=0.01,ABS(L22)&lt;=0.01,ABS(M22)&lt;=0.01),"OK","CHECK")</f>
        <v/>
      </c>
    </row>
    <row r="23">
      <c r="A23" s="8" t="n">
        <v>45474</v>
      </c>
      <c r="B23" t="n">
        <v>517</v>
      </c>
      <c r="C23" s="9" t="n">
        <v>1135310.41</v>
      </c>
      <c r="D23" s="9" t="n">
        <v>1088058.84</v>
      </c>
      <c r="E23" s="9" t="n">
        <v>47251.57</v>
      </c>
      <c r="F23" s="9" t="n">
        <v>4491.54</v>
      </c>
      <c r="G23" s="9" t="n">
        <v>1083567.3</v>
      </c>
      <c r="H23" s="9" t="n">
        <v>1135310.41</v>
      </c>
      <c r="I23" s="9" t="n">
        <v>0</v>
      </c>
      <c r="J23" s="9">
        <f>ROUND(C23-D23-E23,2)</f>
        <v/>
      </c>
      <c r="K23" s="9">
        <f>D23-F23</f>
        <v/>
      </c>
      <c r="L23" s="9">
        <f>ROUND(K23-G23,2)</f>
        <v/>
      </c>
      <c r="M23" s="9">
        <f>ROUND(C23-H23-I23,2)</f>
        <v/>
      </c>
      <c r="N23">
        <f>IF(AND(ABS(J23)&lt;=0.01,ABS(L23)&lt;=0.01,ABS(M23)&lt;=0.01),"OK","CHECK")</f>
        <v/>
      </c>
    </row>
    <row r="24">
      <c r="A24" s="8" t="n">
        <v>45505</v>
      </c>
      <c r="B24" t="n">
        <v>546</v>
      </c>
      <c r="C24" s="9" t="n">
        <v>1202222.15</v>
      </c>
      <c r="D24" s="9" t="n">
        <v>1180635.6</v>
      </c>
      <c r="E24" s="9" t="n">
        <v>21586.55</v>
      </c>
      <c r="F24" s="9" t="n">
        <v>2623.88</v>
      </c>
      <c r="G24" s="9" t="n">
        <v>1178011.72</v>
      </c>
      <c r="H24" s="9" t="n">
        <v>1202222.15</v>
      </c>
      <c r="I24" s="9" t="n">
        <v>0</v>
      </c>
      <c r="J24" s="9">
        <f>ROUND(C24-D24-E24,2)</f>
        <v/>
      </c>
      <c r="K24" s="9">
        <f>D24-F24</f>
        <v/>
      </c>
      <c r="L24" s="9">
        <f>ROUND(K24-G24,2)</f>
        <v/>
      </c>
      <c r="M24" s="9">
        <f>ROUND(C24-H24-I24,2)</f>
        <v/>
      </c>
      <c r="N24">
        <f>IF(AND(ABS(J24)&lt;=0.01,ABS(L24)&lt;=0.01,ABS(M24)&lt;=0.01),"OK","CHECK")</f>
        <v/>
      </c>
    </row>
    <row r="25">
      <c r="A25" s="8" t="n">
        <v>45536</v>
      </c>
      <c r="B25" t="n">
        <v>570</v>
      </c>
      <c r="C25" s="9" t="n">
        <v>1306283.29</v>
      </c>
      <c r="D25" s="9" t="n">
        <v>1266537.02</v>
      </c>
      <c r="E25" s="9" t="n">
        <v>39746.27</v>
      </c>
      <c r="F25" s="9" t="n">
        <v>818.34</v>
      </c>
      <c r="G25" s="9" t="n">
        <v>1265718.68</v>
      </c>
      <c r="H25" s="9" t="n">
        <v>1306283.29</v>
      </c>
      <c r="I25" s="9" t="n">
        <v>0</v>
      </c>
      <c r="J25" s="9">
        <f>ROUND(C25-D25-E25,2)</f>
        <v/>
      </c>
      <c r="K25" s="9">
        <f>D25-F25</f>
        <v/>
      </c>
      <c r="L25" s="9">
        <f>ROUND(K25-G25,2)</f>
        <v/>
      </c>
      <c r="M25" s="9">
        <f>ROUND(C25-H25-I25,2)</f>
        <v/>
      </c>
      <c r="N25">
        <f>IF(AND(ABS(J25)&lt;=0.01,ABS(L25)&lt;=0.01,ABS(M25)&lt;=0.01),"OK","CHECK")</f>
        <v/>
      </c>
    </row>
    <row r="26">
      <c r="A26" s="8" t="n">
        <v>45566</v>
      </c>
      <c r="B26" t="n">
        <v>602</v>
      </c>
      <c r="C26" s="9" t="n">
        <v>1344199.42</v>
      </c>
      <c r="D26" s="9" t="n">
        <v>1315654.58</v>
      </c>
      <c r="E26" s="9" t="n">
        <v>28544.84</v>
      </c>
      <c r="F26" s="9" t="n">
        <v>2020.89</v>
      </c>
      <c r="G26" s="9" t="n">
        <v>1313633.69</v>
      </c>
      <c r="H26" s="9" t="n">
        <v>1344199.42</v>
      </c>
      <c r="I26" s="9" t="n">
        <v>0</v>
      </c>
      <c r="J26" s="9">
        <f>ROUND(C26-D26-E26,2)</f>
        <v/>
      </c>
      <c r="K26" s="9">
        <f>D26-F26</f>
        <v/>
      </c>
      <c r="L26" s="9">
        <f>ROUND(K26-G26,2)</f>
        <v/>
      </c>
      <c r="M26" s="9">
        <f>ROUND(C26-H26-I26,2)</f>
        <v/>
      </c>
      <c r="N26">
        <f>IF(AND(ABS(J26)&lt;=0.01,ABS(L26)&lt;=0.01,ABS(M26)&lt;=0.01),"OK","CHECK")</f>
        <v/>
      </c>
    </row>
    <row r="27">
      <c r="A27" s="8" t="n">
        <v>45597</v>
      </c>
      <c r="B27" t="n">
        <v>623</v>
      </c>
      <c r="C27" s="9" t="n">
        <v>1420028.91</v>
      </c>
      <c r="D27" s="9" t="n">
        <v>1354810.32</v>
      </c>
      <c r="E27" s="9" t="n">
        <v>65218.59</v>
      </c>
      <c r="F27" s="9" t="n">
        <v>1979.46</v>
      </c>
      <c r="G27" s="9" t="n">
        <v>1352830.86</v>
      </c>
      <c r="H27" s="9" t="n">
        <v>1420028.91</v>
      </c>
      <c r="I27" s="9" t="n">
        <v>0</v>
      </c>
      <c r="J27" s="9">
        <f>ROUND(C27-D27-E27,2)</f>
        <v/>
      </c>
      <c r="K27" s="9">
        <f>D27-F27</f>
        <v/>
      </c>
      <c r="L27" s="9">
        <f>ROUND(K27-G27,2)</f>
        <v/>
      </c>
      <c r="M27" s="9">
        <f>ROUND(C27-H27-I27,2)</f>
        <v/>
      </c>
      <c r="N27">
        <f>IF(AND(ABS(J27)&lt;=0.01,ABS(L27)&lt;=0.01,ABS(M27)&lt;=0.01),"OK","CHECK")</f>
        <v/>
      </c>
    </row>
    <row r="28">
      <c r="A28" s="8" t="n">
        <v>45627</v>
      </c>
      <c r="B28" t="n">
        <v>643</v>
      </c>
      <c r="C28" s="9" t="n">
        <v>1493864.67</v>
      </c>
      <c r="D28" s="9" t="n">
        <v>1438999.99</v>
      </c>
      <c r="E28" s="9" t="n">
        <v>54864.68</v>
      </c>
      <c r="F28" s="9" t="n">
        <v>3128.95</v>
      </c>
      <c r="G28" s="9" t="n">
        <v>1435871.04</v>
      </c>
      <c r="H28" s="9" t="n">
        <v>1493864.67</v>
      </c>
      <c r="I28" s="9" t="n">
        <v>0</v>
      </c>
      <c r="J28" s="9">
        <f>ROUND(C28-D28-E28,2)</f>
        <v/>
      </c>
      <c r="K28" s="9">
        <f>D28-F28</f>
        <v/>
      </c>
      <c r="L28" s="9">
        <f>ROUND(K28-G28,2)</f>
        <v/>
      </c>
      <c r="M28" s="9">
        <f>ROUND(C28-H28-I28,2)</f>
        <v/>
      </c>
      <c r="N28">
        <f>IF(AND(ABS(J28)&lt;=0.01,ABS(L28)&lt;=0.01,ABS(M28)&lt;=0.01),"OK","CHECK")</f>
        <v/>
      </c>
    </row>
    <row r="29">
      <c r="A29" s="8" t="n">
        <v>45658</v>
      </c>
      <c r="B29" t="n">
        <v>664</v>
      </c>
      <c r="C29" s="9" t="n">
        <v>1533417.45</v>
      </c>
      <c r="D29" s="9" t="n">
        <v>1482774.66</v>
      </c>
      <c r="E29" s="9" t="n">
        <v>50642.79</v>
      </c>
      <c r="F29" s="9" t="n">
        <v>3527.63</v>
      </c>
      <c r="G29" s="9" t="n">
        <v>1479247.03</v>
      </c>
      <c r="H29" s="9" t="n">
        <v>1533417.45</v>
      </c>
      <c r="I29" s="9" t="n">
        <v>0</v>
      </c>
      <c r="J29" s="9">
        <f>ROUND(C29-D29-E29,2)</f>
        <v/>
      </c>
      <c r="K29" s="9">
        <f>D29-F29</f>
        <v/>
      </c>
      <c r="L29" s="9">
        <f>ROUND(K29-G29,2)</f>
        <v/>
      </c>
      <c r="M29" s="9">
        <f>ROUND(C29-H29-I29,2)</f>
        <v/>
      </c>
      <c r="N29">
        <f>IF(AND(ABS(J29)&lt;=0.01,ABS(L29)&lt;=0.01,ABS(M29)&lt;=0.01),"OK","CHECK")</f>
        <v/>
      </c>
    </row>
    <row r="30">
      <c r="A30" s="8" t="n">
        <v>45689</v>
      </c>
      <c r="B30" t="n">
        <v>673</v>
      </c>
      <c r="C30" s="9" t="n">
        <v>1574017.04</v>
      </c>
      <c r="D30" s="9" t="n">
        <v>1516507.46</v>
      </c>
      <c r="E30" s="9" t="n">
        <v>57509.58</v>
      </c>
      <c r="F30" s="9" t="n">
        <v>3103.44</v>
      </c>
      <c r="G30" s="9" t="n">
        <v>1513404.02</v>
      </c>
      <c r="H30" s="9" t="n">
        <v>1574017.04</v>
      </c>
      <c r="I30" s="9" t="n">
        <v>0</v>
      </c>
      <c r="J30" s="9">
        <f>ROUND(C30-D30-E30,2)</f>
        <v/>
      </c>
      <c r="K30" s="9">
        <f>D30-F30</f>
        <v/>
      </c>
      <c r="L30" s="9">
        <f>ROUND(K30-G30,2)</f>
        <v/>
      </c>
      <c r="M30" s="9">
        <f>ROUND(C30-H30-I30,2)</f>
        <v/>
      </c>
      <c r="N30">
        <f>IF(AND(ABS(J30)&lt;=0.01,ABS(L30)&lt;=0.01,ABS(M30)&lt;=0.01),"OK","CHECK")</f>
        <v/>
      </c>
    </row>
    <row r="31">
      <c r="A31" s="8" t="n">
        <v>45717</v>
      </c>
      <c r="B31" t="n">
        <v>693</v>
      </c>
      <c r="C31" s="9" t="n">
        <v>1658505.19</v>
      </c>
      <c r="D31" s="9" t="n">
        <v>1552205</v>
      </c>
      <c r="E31" s="9" t="n">
        <v>106300.19</v>
      </c>
      <c r="F31" s="9" t="n">
        <v>937.7</v>
      </c>
      <c r="G31" s="9" t="n">
        <v>1551267.3</v>
      </c>
      <c r="H31" s="9" t="n">
        <v>1658505.19</v>
      </c>
      <c r="I31" s="9" t="n">
        <v>0</v>
      </c>
      <c r="J31" s="9">
        <f>ROUND(C31-D31-E31,2)</f>
        <v/>
      </c>
      <c r="K31" s="9">
        <f>D31-F31</f>
        <v/>
      </c>
      <c r="L31" s="9">
        <f>ROUND(K31-G31,2)</f>
        <v/>
      </c>
      <c r="M31" s="9">
        <f>ROUND(C31-H31-I31,2)</f>
        <v/>
      </c>
      <c r="N31">
        <f>IF(AND(ABS(J31)&lt;=0.01,ABS(L31)&lt;=0.01,ABS(M31)&lt;=0.01),"OK","CHECK")</f>
        <v/>
      </c>
    </row>
    <row r="32">
      <c r="A32" s="8" t="n">
        <v>45748</v>
      </c>
      <c r="B32" t="n">
        <v>707</v>
      </c>
      <c r="C32" s="9" t="n">
        <v>1700831.06</v>
      </c>
      <c r="D32" s="9" t="n">
        <v>1623097.95</v>
      </c>
      <c r="E32" s="9" t="n">
        <v>77733.11</v>
      </c>
      <c r="F32" s="9" t="n">
        <v>3371.91</v>
      </c>
      <c r="G32" s="9" t="n">
        <v>1619726.04</v>
      </c>
      <c r="H32" s="9" t="n">
        <v>1700831.06</v>
      </c>
      <c r="I32" s="9" t="n">
        <v>0</v>
      </c>
      <c r="J32" s="9">
        <f>ROUND(C32-D32-E32,2)</f>
        <v/>
      </c>
      <c r="K32" s="9">
        <f>D32-F32</f>
        <v/>
      </c>
      <c r="L32" s="9">
        <f>ROUND(K32-G32,2)</f>
        <v/>
      </c>
      <c r="M32" s="9">
        <f>ROUND(C32-H32-I32,2)</f>
        <v/>
      </c>
      <c r="N32">
        <f>IF(AND(ABS(J32)&lt;=0.01,ABS(L32)&lt;=0.01,ABS(M32)&lt;=0.01),"OK","CHECK")</f>
        <v/>
      </c>
    </row>
    <row r="33">
      <c r="A33" s="8" t="n">
        <v>45778</v>
      </c>
      <c r="B33" t="n">
        <v>742</v>
      </c>
      <c r="C33" s="9" t="n">
        <v>1794919.85</v>
      </c>
      <c r="D33" s="9" t="n">
        <v>1708427.76</v>
      </c>
      <c r="E33" s="9" t="n">
        <v>86492.09</v>
      </c>
      <c r="F33" s="9" t="n">
        <v>2127.89</v>
      </c>
      <c r="G33" s="9" t="n">
        <v>1706299.87</v>
      </c>
      <c r="H33" s="9" t="n">
        <v>1794919.85</v>
      </c>
      <c r="I33" s="9" t="n">
        <v>0</v>
      </c>
      <c r="J33" s="9">
        <f>ROUND(C33-D33-E33,2)</f>
        <v/>
      </c>
      <c r="K33" s="9">
        <f>D33-F33</f>
        <v/>
      </c>
      <c r="L33" s="9">
        <f>ROUND(K33-G33,2)</f>
        <v/>
      </c>
      <c r="M33" s="9">
        <f>ROUND(C33-H33-I33,2)</f>
        <v/>
      </c>
      <c r="N33">
        <f>IF(AND(ABS(J33)&lt;=0.01,ABS(L33)&lt;=0.01,ABS(M33)&lt;=0.01),"OK","CHECK")</f>
        <v/>
      </c>
    </row>
    <row r="34">
      <c r="A34" s="8" t="n">
        <v>45809</v>
      </c>
      <c r="B34" t="n">
        <v>764</v>
      </c>
      <c r="C34" s="9" t="n">
        <v>1882383.45</v>
      </c>
      <c r="D34" s="9" t="n">
        <v>1852011.11</v>
      </c>
      <c r="E34" s="9" t="n">
        <v>30372.34</v>
      </c>
      <c r="F34" s="9" t="n">
        <v>7983.01</v>
      </c>
      <c r="G34" s="9" t="n">
        <v>1844028.1</v>
      </c>
      <c r="H34" s="9" t="n">
        <v>1882383.45</v>
      </c>
      <c r="I34" s="9" t="n">
        <v>0</v>
      </c>
      <c r="J34" s="9">
        <f>ROUND(C34-D34-E34,2)</f>
        <v/>
      </c>
      <c r="K34" s="9">
        <f>D34-F34</f>
        <v/>
      </c>
      <c r="L34" s="9">
        <f>ROUND(K34-G34,2)</f>
        <v/>
      </c>
      <c r="M34" s="9">
        <f>ROUND(C34-H34-I34,2)</f>
        <v/>
      </c>
      <c r="N34">
        <f>IF(AND(ABS(J34)&lt;=0.01,ABS(L34)&lt;=0.01,ABS(M34)&lt;=0.01),"OK","CHECK")</f>
        <v/>
      </c>
    </row>
    <row r="35">
      <c r="A35" s="8" t="n">
        <v>45839</v>
      </c>
      <c r="B35" t="n">
        <v>788</v>
      </c>
      <c r="C35" s="9" t="n">
        <v>1940601.77</v>
      </c>
      <c r="D35" s="9" t="n">
        <v>1872092.6</v>
      </c>
      <c r="E35" s="9" t="n">
        <v>68509.17</v>
      </c>
      <c r="F35" s="9" t="n">
        <v>4030.07</v>
      </c>
      <c r="G35" s="9" t="n">
        <v>1868062.53</v>
      </c>
      <c r="H35" s="9" t="n">
        <v>1940601.77</v>
      </c>
      <c r="I35" s="9" t="n">
        <v>0</v>
      </c>
      <c r="J35" s="9">
        <f>ROUND(C35-D35-E35,2)</f>
        <v/>
      </c>
      <c r="K35" s="9">
        <f>D35-F35</f>
        <v/>
      </c>
      <c r="L35" s="9">
        <f>ROUND(K35-G35,2)</f>
        <v/>
      </c>
      <c r="M35" s="9">
        <f>ROUND(C35-H35-I35,2)</f>
        <v/>
      </c>
      <c r="N35">
        <f>IF(AND(ABS(J35)&lt;=0.01,ABS(L35)&lt;=0.01,ABS(M35)&lt;=0.01),"OK","CHECK")</f>
        <v/>
      </c>
    </row>
    <row r="36">
      <c r="A36" s="8" t="n">
        <v>45870</v>
      </c>
      <c r="B36" t="n">
        <v>813</v>
      </c>
      <c r="C36" s="9" t="n">
        <v>2005283.94</v>
      </c>
      <c r="D36" s="9" t="n">
        <v>1925068.22</v>
      </c>
      <c r="E36" s="9" t="n">
        <v>80215.72</v>
      </c>
      <c r="F36" s="9" t="n">
        <v>1245.69</v>
      </c>
      <c r="G36" s="9" t="n">
        <v>1923822.53</v>
      </c>
      <c r="H36" s="9" t="n">
        <v>2005283.94</v>
      </c>
      <c r="I36" s="9" t="n">
        <v>0</v>
      </c>
      <c r="J36" s="9">
        <f>ROUND(C36-D36-E36,2)</f>
        <v/>
      </c>
      <c r="K36" s="9">
        <f>D36-F36</f>
        <v/>
      </c>
      <c r="L36" s="9">
        <f>ROUND(K36-G36,2)</f>
        <v/>
      </c>
      <c r="M36" s="9">
        <f>ROUND(C36-H36-I36,2)</f>
        <v/>
      </c>
      <c r="N36">
        <f>IF(AND(ABS(J36)&lt;=0.01,ABS(L36)&lt;=0.01,ABS(M36)&lt;=0.01),"OK","CHECK")</f>
        <v/>
      </c>
    </row>
    <row r="37">
      <c r="A37" s="8" t="n">
        <v>45901</v>
      </c>
      <c r="B37" t="n">
        <v>830</v>
      </c>
      <c r="C37" s="9" t="n">
        <v>2054667.38</v>
      </c>
      <c r="D37" s="9" t="n">
        <v>1960821.05</v>
      </c>
      <c r="E37" s="9" t="n">
        <v>93846.33</v>
      </c>
      <c r="F37" s="9" t="n">
        <v>9306.23</v>
      </c>
      <c r="G37" s="9" t="n">
        <v>1951514.82</v>
      </c>
      <c r="H37" s="9" t="n">
        <v>2054667.38</v>
      </c>
      <c r="I37" s="9" t="n">
        <v>0</v>
      </c>
      <c r="J37" s="9">
        <f>ROUND(C37-D37-E37,2)</f>
        <v/>
      </c>
      <c r="K37" s="9">
        <f>D37-F37</f>
        <v/>
      </c>
      <c r="L37" s="9">
        <f>ROUND(K37-G37,2)</f>
        <v/>
      </c>
      <c r="M37" s="9">
        <f>ROUND(C37-H37-I37,2)</f>
        <v/>
      </c>
      <c r="N37">
        <f>IF(AND(ABS(J37)&lt;=0.01,ABS(L37)&lt;=0.01,ABS(M37)&lt;=0.01),"OK","CHECK")</f>
        <v/>
      </c>
    </row>
    <row r="38">
      <c r="A38" s="8" t="n">
        <v>45931</v>
      </c>
      <c r="B38" t="n">
        <v>855</v>
      </c>
      <c r="C38" s="9" t="n">
        <v>2130279.09</v>
      </c>
      <c r="D38" s="9" t="n">
        <v>2019057.34</v>
      </c>
      <c r="E38" s="9" t="n">
        <v>111221.75</v>
      </c>
      <c r="F38" s="9" t="n">
        <v>9063.559999999999</v>
      </c>
      <c r="G38" s="9" t="n">
        <v>2009993.78</v>
      </c>
      <c r="H38" s="9" t="n">
        <v>2130279.09</v>
      </c>
      <c r="I38" s="9" t="n">
        <v>0</v>
      </c>
      <c r="J38" s="9">
        <f>ROUND(C38-D38-E38,2)</f>
        <v/>
      </c>
      <c r="K38" s="9">
        <f>D38-F38</f>
        <v/>
      </c>
      <c r="L38" s="9">
        <f>ROUND(K38-G38,2)</f>
        <v/>
      </c>
      <c r="M38" s="9">
        <f>ROUND(C38-H38-I38,2)</f>
        <v/>
      </c>
      <c r="N38">
        <f>IF(AND(ABS(J38)&lt;=0.01,ABS(L38)&lt;=0.01,ABS(M38)&lt;=0.01),"OK","CHECK")</f>
        <v/>
      </c>
    </row>
    <row r="39">
      <c r="A39" s="8" t="n">
        <v>45962</v>
      </c>
      <c r="B39" t="n">
        <v>864</v>
      </c>
      <c r="C39" s="9" t="n">
        <v>2176914.53</v>
      </c>
      <c r="D39" s="9" t="n">
        <v>2143263.61</v>
      </c>
      <c r="E39" s="9" t="n">
        <v>33650.92</v>
      </c>
      <c r="F39" s="9" t="n">
        <v>7506.84</v>
      </c>
      <c r="G39" s="9" t="n">
        <v>2135756.77</v>
      </c>
      <c r="H39" s="9" t="n">
        <v>2176914.53</v>
      </c>
      <c r="I39" s="9" t="n">
        <v>0</v>
      </c>
      <c r="J39" s="9">
        <f>ROUND(C39-D39-E39,2)</f>
        <v/>
      </c>
      <c r="K39" s="9">
        <f>D39-F39</f>
        <v/>
      </c>
      <c r="L39" s="9">
        <f>ROUND(K39-G39,2)</f>
        <v/>
      </c>
      <c r="M39" s="9">
        <f>ROUND(C39-H39-I39,2)</f>
        <v/>
      </c>
      <c r="N39">
        <f>IF(AND(ABS(J39)&lt;=0.01,ABS(L39)&lt;=0.01,ABS(M39)&lt;=0.01),"OK","CHECK")</f>
        <v/>
      </c>
    </row>
    <row r="40">
      <c r="A40" s="8" t="n">
        <v>45992</v>
      </c>
      <c r="B40" t="n">
        <v>888</v>
      </c>
      <c r="C40" s="9" t="n">
        <v>2259102.98</v>
      </c>
      <c r="D40" s="9" t="n">
        <v>2205381.15</v>
      </c>
      <c r="E40" s="9" t="n">
        <v>53721.83</v>
      </c>
      <c r="F40" s="9" t="n">
        <v>11112.32</v>
      </c>
      <c r="G40" s="9" t="n">
        <v>2194268.83</v>
      </c>
      <c r="H40" s="9" t="n">
        <v>2259102.98</v>
      </c>
      <c r="I40" s="9" t="n">
        <v>0</v>
      </c>
      <c r="J40" s="9">
        <f>ROUND(C40-D40-E40,2)</f>
        <v/>
      </c>
      <c r="K40" s="9">
        <f>D40-F40</f>
        <v/>
      </c>
      <c r="L40" s="9">
        <f>ROUND(K40-G40,2)</f>
        <v/>
      </c>
      <c r="M40" s="9">
        <f>ROUND(C40-H40-I40,2)</f>
        <v/>
      </c>
      <c r="N40">
        <f>IF(AND(ABS(J40)&lt;=0.01,ABS(L40)&lt;=0.01,ABS(M40)&lt;=0.01),"OK","CHECK")</f>
        <v/>
      </c>
    </row>
    <row r="41">
      <c r="A41" s="11" t="inlineStr">
        <is>
          <t>Total</t>
        </is>
      </c>
      <c r="B41" s="12">
        <f>SUM(B5:B40)</f>
        <v/>
      </c>
      <c r="C41" s="13">
        <f>SUM(C5:C40)</f>
        <v/>
      </c>
      <c r="D41" s="13">
        <f>SUM(D5:D40)</f>
        <v/>
      </c>
      <c r="E41" s="13">
        <f>SUM(E5:E40)</f>
        <v/>
      </c>
      <c r="F41" s="13">
        <f>SUM(F5:F40)</f>
        <v/>
      </c>
      <c r="G41" s="13">
        <f>SUM(G5:G40)</f>
        <v/>
      </c>
      <c r="H41" s="13">
        <f>SUM(H5:H40)</f>
        <v/>
      </c>
      <c r="I41" s="13">
        <f>SUM(I5:I40)</f>
        <v/>
      </c>
      <c r="J41" s="13">
        <f>SUM(J5:J40)</f>
        <v/>
      </c>
      <c r="K41" s="13">
        <f>SUM(K5:K40)</f>
        <v/>
      </c>
      <c r="L41" s="13">
        <f>SUM(L5:L40)</f>
        <v/>
      </c>
      <c r="M41" s="13">
        <f>SUM(M5:M40)</f>
        <v/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0"/>
  <pageMargins left="0.4" right="0.4" top="1" bottom="1" header="0.5" footer="0.5"/>
  <pageSetup orientation="landscape" paperSize="1" fitToHeight="0" fitToWidth="1"/>
  <headerFooter>
    <oddHeader>&amp;L&amp;9 SaaS Revenue Intelligence | MRR, Retention &amp;&amp; Billing Controls&amp;R&amp;9 Billing Reconciliation</oddHeader>
    <oddFooter>&amp;L&amp;8 Synthetic data. Not real financial results.&amp;C&amp;8 Refreshed 2026-09-19 20:07 UTC&amp;R&amp;8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97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12" customWidth="1" min="3" max="3"/>
    <col width="16" customWidth="1" min="4" max="4"/>
    <col width="14" customWidth="1" min="5" max="5"/>
    <col width="16" customWidth="1" min="6" max="6"/>
    <col width="60" customWidth="1" min="7" max="7"/>
  </cols>
  <sheetData>
    <row r="1">
      <c r="A1" s="1" t="inlineStr">
        <is>
          <t>Finance exception queue</t>
        </is>
      </c>
    </row>
    <row r="2">
      <c r="A2" t="inlineStr">
        <is>
          <t>Summary formulas read the detail list below. Billed amount counts an invoice once per rule it breaks.</t>
        </is>
      </c>
    </row>
    <row r="4" ht="32" customHeight="1">
      <c r="A4" s="3" t="inlineStr">
        <is>
          <t>Rule</t>
        </is>
      </c>
      <c r="B4" s="3" t="inlineStr">
        <is>
          <t>Severity</t>
        </is>
      </c>
      <c r="C4" s="3" t="inlineStr">
        <is>
          <t>Records</t>
        </is>
      </c>
      <c r="D4" s="3" t="inlineStr">
        <is>
          <t>Billed amount</t>
        </is>
      </c>
    </row>
    <row r="5">
      <c r="A5" t="inlineStr">
        <is>
          <t>contract_date_conflict</t>
        </is>
      </c>
      <c r="B5" t="inlineStr">
        <is>
          <t>medium</t>
        </is>
      </c>
      <c r="C5">
        <f>COUNTIF($B$9:$B$977,A5)</f>
        <v/>
      </c>
      <c r="D5" s="9">
        <f>SUMIF($B$9:$B$977,A5,$F$9:$F$977)</f>
        <v/>
      </c>
    </row>
    <row r="6">
      <c r="A6" s="11" t="inlineStr">
        <is>
          <t>Total</t>
        </is>
      </c>
      <c r="C6" s="11">
        <f>SUM(C5:C5)</f>
        <v/>
      </c>
      <c r="D6" s="9">
        <f>SUM(D5:D5)</f>
        <v/>
      </c>
    </row>
    <row r="8" ht="32" customHeight="1">
      <c r="A8" s="3" t="inlineStr">
        <is>
          <t>Invoice</t>
        </is>
      </c>
      <c r="B8" s="3" t="inlineStr">
        <is>
          <t>Rule</t>
        </is>
      </c>
      <c r="C8" s="3" t="inlineStr">
        <is>
          <t>Severity</t>
        </is>
      </c>
      <c r="D8" s="3" t="inlineStr">
        <is>
          <t>Invoice date</t>
        </is>
      </c>
      <c r="E8" s="3" t="inlineStr">
        <is>
          <t>Customer</t>
        </is>
      </c>
      <c r="F8" s="3" t="inlineStr">
        <is>
          <t>Billed amount</t>
        </is>
      </c>
      <c r="G8" s="3" t="inlineStr">
        <is>
          <t>Details</t>
        </is>
      </c>
    </row>
    <row r="9">
      <c r="A9" t="inlineStr">
        <is>
          <t>INV00001092</t>
        </is>
      </c>
      <c r="B9" t="inlineStr">
        <is>
          <t>contract_date_conflict</t>
        </is>
      </c>
      <c r="C9" t="inlineStr">
        <is>
          <t>medium</t>
        </is>
      </c>
      <c r="D9" s="14" t="n">
        <v>44927</v>
      </c>
      <c r="E9" t="inlineStr">
        <is>
          <t>C000073</t>
        </is>
      </c>
      <c r="F9" s="9" t="n">
        <v>1635.3</v>
      </c>
      <c r="G9" t="inlineStr">
        <is>
          <t>Invoice date falls outside the linked contract</t>
        </is>
      </c>
    </row>
    <row r="10">
      <c r="A10" t="inlineStr">
        <is>
          <t>INV00001717</t>
        </is>
      </c>
      <c r="B10" t="inlineStr">
        <is>
          <t>contract_date_conflict</t>
        </is>
      </c>
      <c r="C10" t="inlineStr">
        <is>
          <t>medium</t>
        </is>
      </c>
      <c r="D10" s="14" t="n">
        <v>44927</v>
      </c>
      <c r="E10" t="inlineStr">
        <is>
          <t>C000115</t>
        </is>
      </c>
      <c r="F10" s="9" t="n">
        <v>386.1</v>
      </c>
      <c r="G10" t="inlineStr">
        <is>
          <t>Invoice date falls outside the linked contract</t>
        </is>
      </c>
    </row>
    <row r="11">
      <c r="A11" t="inlineStr">
        <is>
          <t>INV00003367</t>
        </is>
      </c>
      <c r="B11" t="inlineStr">
        <is>
          <t>contract_date_conflict</t>
        </is>
      </c>
      <c r="C11" t="inlineStr">
        <is>
          <t>medium</t>
        </is>
      </c>
      <c r="D11" s="14" t="n">
        <v>44927</v>
      </c>
      <c r="E11" t="inlineStr">
        <is>
          <t>C000245</t>
        </is>
      </c>
      <c r="F11" s="9" t="n">
        <v>1501</v>
      </c>
      <c r="G11" t="inlineStr">
        <is>
          <t>Invoice date falls outside the linked contract</t>
        </is>
      </c>
    </row>
    <row r="12">
      <c r="A12" t="inlineStr">
        <is>
          <t>INV00005443</t>
        </is>
      </c>
      <c r="B12" t="inlineStr">
        <is>
          <t>contract_date_conflict</t>
        </is>
      </c>
      <c r="C12" t="inlineStr">
        <is>
          <t>medium</t>
        </is>
      </c>
      <c r="D12" s="14" t="n">
        <v>44927</v>
      </c>
      <c r="E12" t="inlineStr">
        <is>
          <t>C000390</t>
        </is>
      </c>
      <c r="F12" s="9" t="n">
        <v>7360.6</v>
      </c>
      <c r="G12" t="inlineStr">
        <is>
          <t>Invoice date falls outside the linked contract</t>
        </is>
      </c>
    </row>
    <row r="13">
      <c r="A13" t="inlineStr">
        <is>
          <t>INV00005545</t>
        </is>
      </c>
      <c r="B13" t="inlineStr">
        <is>
          <t>contract_date_conflict</t>
        </is>
      </c>
      <c r="C13" t="inlineStr">
        <is>
          <t>medium</t>
        </is>
      </c>
      <c r="D13" s="14" t="n">
        <v>44927</v>
      </c>
      <c r="E13" t="inlineStr">
        <is>
          <t>C000395</t>
        </is>
      </c>
      <c r="F13" s="9" t="n">
        <v>1350.9</v>
      </c>
      <c r="G13" t="inlineStr">
        <is>
          <t>Invoice date falls outside the linked contract</t>
        </is>
      </c>
    </row>
    <row r="14">
      <c r="A14" t="inlineStr">
        <is>
          <t>INV00006648</t>
        </is>
      </c>
      <c r="B14" t="inlineStr">
        <is>
          <t>contract_date_conflict</t>
        </is>
      </c>
      <c r="C14" t="inlineStr">
        <is>
          <t>medium</t>
        </is>
      </c>
      <c r="D14" s="14" t="n">
        <v>44927</v>
      </c>
      <c r="E14" t="inlineStr">
        <is>
          <t>C000475</t>
        </is>
      </c>
      <c r="F14" s="9" t="n">
        <v>468</v>
      </c>
      <c r="G14" t="inlineStr">
        <is>
          <t>Invoice date falls outside the linked contract</t>
        </is>
      </c>
    </row>
    <row r="15">
      <c r="A15" t="inlineStr">
        <is>
          <t>INV00007316</t>
        </is>
      </c>
      <c r="B15" t="inlineStr">
        <is>
          <t>contract_date_conflict</t>
        </is>
      </c>
      <c r="C15" t="inlineStr">
        <is>
          <t>medium</t>
        </is>
      </c>
      <c r="D15" s="14" t="n">
        <v>44927</v>
      </c>
      <c r="E15" t="inlineStr">
        <is>
          <t>C000516</t>
        </is>
      </c>
      <c r="F15" s="9" t="n">
        <v>1817</v>
      </c>
      <c r="G15" t="inlineStr">
        <is>
          <t>Invoice date falls outside the linked contract</t>
        </is>
      </c>
    </row>
    <row r="16">
      <c r="A16" t="inlineStr">
        <is>
          <t>INV00007366</t>
        </is>
      </c>
      <c r="B16" t="inlineStr">
        <is>
          <t>contract_date_conflict</t>
        </is>
      </c>
      <c r="C16" t="inlineStr">
        <is>
          <t>medium</t>
        </is>
      </c>
      <c r="D16" s="14" t="n">
        <v>44927</v>
      </c>
      <c r="E16" t="inlineStr">
        <is>
          <t>C000518</t>
        </is>
      </c>
      <c r="F16" s="9" t="n">
        <v>1185</v>
      </c>
      <c r="G16" t="inlineStr">
        <is>
          <t>Invoice date falls outside the linked contract</t>
        </is>
      </c>
    </row>
    <row r="17">
      <c r="A17" t="inlineStr">
        <is>
          <t>INV00007865</t>
        </is>
      </c>
      <c r="B17" t="inlineStr">
        <is>
          <t>contract_date_conflict</t>
        </is>
      </c>
      <c r="C17" t="inlineStr">
        <is>
          <t>medium</t>
        </is>
      </c>
      <c r="D17" s="14" t="n">
        <v>44927</v>
      </c>
      <c r="E17" t="inlineStr">
        <is>
          <t>C000559</t>
        </is>
      </c>
      <c r="F17" s="9" t="n">
        <v>2061.9</v>
      </c>
      <c r="G17" t="inlineStr">
        <is>
          <t>Invoice date falls outside the linked contract</t>
        </is>
      </c>
    </row>
    <row r="18">
      <c r="A18" t="inlineStr">
        <is>
          <t>INV00008367</t>
        </is>
      </c>
      <c r="B18" t="inlineStr">
        <is>
          <t>contract_date_conflict</t>
        </is>
      </c>
      <c r="C18" t="inlineStr">
        <is>
          <t>medium</t>
        </is>
      </c>
      <c r="D18" s="14" t="n">
        <v>44927</v>
      </c>
      <c r="E18" t="inlineStr">
        <is>
          <t>C000592</t>
        </is>
      </c>
      <c r="F18" s="9" t="n">
        <v>10281</v>
      </c>
      <c r="G18" t="inlineStr">
        <is>
          <t>Invoice date falls outside the linked contract</t>
        </is>
      </c>
    </row>
    <row r="19">
      <c r="A19" t="inlineStr">
        <is>
          <t>INV00008833</t>
        </is>
      </c>
      <c r="B19" t="inlineStr">
        <is>
          <t>contract_date_conflict</t>
        </is>
      </c>
      <c r="C19" t="inlineStr">
        <is>
          <t>medium</t>
        </is>
      </c>
      <c r="D19" s="14" t="n">
        <v>44927</v>
      </c>
      <c r="E19" t="inlineStr">
        <is>
          <t>C000622</t>
        </is>
      </c>
      <c r="F19" s="9" t="n">
        <v>1264</v>
      </c>
      <c r="G19" t="inlineStr">
        <is>
          <t>Invoice date falls outside the linked contract</t>
        </is>
      </c>
    </row>
    <row r="20">
      <c r="A20" t="inlineStr">
        <is>
          <t>INV00009191</t>
        </is>
      </c>
      <c r="B20" t="inlineStr">
        <is>
          <t>contract_date_conflict</t>
        </is>
      </c>
      <c r="C20" t="inlineStr">
        <is>
          <t>medium</t>
        </is>
      </c>
      <c r="D20" s="14" t="n">
        <v>44927</v>
      </c>
      <c r="E20" t="inlineStr">
        <is>
          <t>C000642</t>
        </is>
      </c>
      <c r="F20" s="9" t="n">
        <v>948</v>
      </c>
      <c r="G20" t="inlineStr">
        <is>
          <t>Invoice date falls outside the linked contract</t>
        </is>
      </c>
    </row>
    <row r="21">
      <c r="A21" t="inlineStr">
        <is>
          <t>INV00009708</t>
        </is>
      </c>
      <c r="B21" t="inlineStr">
        <is>
          <t>contract_date_conflict</t>
        </is>
      </c>
      <c r="C21" t="inlineStr">
        <is>
          <t>medium</t>
        </is>
      </c>
      <c r="D21" s="14" t="n">
        <v>44927</v>
      </c>
      <c r="E21" t="inlineStr">
        <is>
          <t>C000685</t>
        </is>
      </c>
      <c r="F21" s="9" t="n">
        <v>298.35</v>
      </c>
      <c r="G21" t="inlineStr">
        <is>
          <t>Invoice date falls outside the linked contract</t>
        </is>
      </c>
    </row>
    <row r="22">
      <c r="A22" t="inlineStr">
        <is>
          <t>INV00013506</t>
        </is>
      </c>
      <c r="B22" t="inlineStr">
        <is>
          <t>contract_date_conflict</t>
        </is>
      </c>
      <c r="C22" t="inlineStr">
        <is>
          <t>medium</t>
        </is>
      </c>
      <c r="D22" s="14" t="n">
        <v>44927</v>
      </c>
      <c r="E22" t="inlineStr">
        <is>
          <t>C000952</t>
        </is>
      </c>
      <c r="F22" s="9" t="n">
        <v>245.7</v>
      </c>
      <c r="G22" t="inlineStr">
        <is>
          <t>Invoice date falls outside the linked contract</t>
        </is>
      </c>
    </row>
    <row r="23">
      <c r="A23" t="inlineStr">
        <is>
          <t>INV00013770</t>
        </is>
      </c>
      <c r="B23" t="inlineStr">
        <is>
          <t>contract_date_conflict</t>
        </is>
      </c>
      <c r="C23" t="inlineStr">
        <is>
          <t>medium</t>
        </is>
      </c>
      <c r="D23" s="14" t="n">
        <v>44927</v>
      </c>
      <c r="E23" t="inlineStr">
        <is>
          <t>C000975</t>
        </is>
      </c>
      <c r="F23" s="9" t="n">
        <v>1501</v>
      </c>
      <c r="G23" t="inlineStr">
        <is>
          <t>Invoice date falls outside the linked contract</t>
        </is>
      </c>
    </row>
    <row r="24">
      <c r="A24" t="inlineStr">
        <is>
          <t>INV00014921</t>
        </is>
      </c>
      <c r="B24" t="inlineStr">
        <is>
          <t>contract_date_conflict</t>
        </is>
      </c>
      <c r="C24" t="inlineStr">
        <is>
          <t>medium</t>
        </is>
      </c>
      <c r="D24" s="14" t="n">
        <v>44927</v>
      </c>
      <c r="E24" t="inlineStr">
        <is>
          <t>C001043</t>
        </is>
      </c>
      <c r="F24" s="9" t="n">
        <v>11398.5</v>
      </c>
      <c r="G24" t="inlineStr">
        <is>
          <t>Invoice date falls outside the linked contract</t>
        </is>
      </c>
    </row>
    <row r="25">
      <c r="A25" t="inlineStr">
        <is>
          <t>INV00015560</t>
        </is>
      </c>
      <c r="B25" t="inlineStr">
        <is>
          <t>contract_date_conflict</t>
        </is>
      </c>
      <c r="C25" t="inlineStr">
        <is>
          <t>medium</t>
        </is>
      </c>
      <c r="D25" s="14" t="n">
        <v>44927</v>
      </c>
      <c r="E25" t="inlineStr">
        <is>
          <t>C001081</t>
        </is>
      </c>
      <c r="F25" s="9" t="n">
        <v>11040.9</v>
      </c>
      <c r="G25" t="inlineStr">
        <is>
          <t>Invoice date falls outside the linked contract</t>
        </is>
      </c>
    </row>
    <row r="26">
      <c r="A26" t="inlineStr">
        <is>
          <t>INV00000216</t>
        </is>
      </c>
      <c r="B26" t="inlineStr">
        <is>
          <t>contract_date_conflict</t>
        </is>
      </c>
      <c r="C26" t="inlineStr">
        <is>
          <t>medium</t>
        </is>
      </c>
      <c r="D26" s="14" t="n">
        <v>44958</v>
      </c>
      <c r="E26" t="inlineStr">
        <is>
          <t>C000019</t>
        </is>
      </c>
      <c r="F26" s="9" t="n">
        <v>9387</v>
      </c>
      <c r="G26" t="inlineStr">
        <is>
          <t>Invoice date falls outside the linked contract</t>
        </is>
      </c>
    </row>
    <row r="27">
      <c r="A27" t="inlineStr">
        <is>
          <t>INV00000775</t>
        </is>
      </c>
      <c r="B27" t="inlineStr">
        <is>
          <t>contract_date_conflict</t>
        </is>
      </c>
      <c r="C27" t="inlineStr">
        <is>
          <t>medium</t>
        </is>
      </c>
      <c r="D27" s="14" t="n">
        <v>44958</v>
      </c>
      <c r="E27" t="inlineStr">
        <is>
          <t>C000049</t>
        </is>
      </c>
      <c r="F27" s="9" t="n">
        <v>265.2</v>
      </c>
      <c r="G27" t="inlineStr">
        <is>
          <t>Invoice date falls outside the linked contract</t>
        </is>
      </c>
    </row>
    <row r="28">
      <c r="A28" t="inlineStr">
        <is>
          <t>INV00001255</t>
        </is>
      </c>
      <c r="B28" t="inlineStr">
        <is>
          <t>contract_date_conflict</t>
        </is>
      </c>
      <c r="C28" t="inlineStr">
        <is>
          <t>medium</t>
        </is>
      </c>
      <c r="D28" s="14" t="n">
        <v>44958</v>
      </c>
      <c r="E28" t="inlineStr">
        <is>
          <t>C000083</t>
        </is>
      </c>
      <c r="F28" s="9" t="n">
        <v>245.7</v>
      </c>
      <c r="G28" t="inlineStr">
        <is>
          <t>Invoice date falls outside the linked contract</t>
        </is>
      </c>
    </row>
    <row r="29">
      <c r="A29" t="inlineStr">
        <is>
          <t>INV00003155</t>
        </is>
      </c>
      <c r="B29" t="inlineStr">
        <is>
          <t>contract_date_conflict</t>
        </is>
      </c>
      <c r="C29" t="inlineStr">
        <is>
          <t>medium</t>
        </is>
      </c>
      <c r="D29" s="14" t="n">
        <v>44958</v>
      </c>
      <c r="E29" t="inlineStr">
        <is>
          <t>C000230</t>
        </is>
      </c>
      <c r="F29" s="9" t="n">
        <v>195</v>
      </c>
      <c r="G29" t="inlineStr">
        <is>
          <t>Invoice date falls outside the linked contract</t>
        </is>
      </c>
    </row>
    <row r="30">
      <c r="A30" t="inlineStr">
        <is>
          <t>INV00004271</t>
        </is>
      </c>
      <c r="B30" t="inlineStr">
        <is>
          <t>contract_date_conflict</t>
        </is>
      </c>
      <c r="C30" t="inlineStr">
        <is>
          <t>medium</t>
        </is>
      </c>
      <c r="D30" s="14" t="n">
        <v>44958</v>
      </c>
      <c r="E30" t="inlineStr">
        <is>
          <t>C000320</t>
        </is>
      </c>
      <c r="F30" s="9" t="n">
        <v>165.75</v>
      </c>
      <c r="G30" t="inlineStr">
        <is>
          <t>Invoice date falls outside the linked contract</t>
        </is>
      </c>
    </row>
    <row r="31">
      <c r="A31" t="inlineStr">
        <is>
          <t>INV00004387</t>
        </is>
      </c>
      <c r="B31" t="inlineStr">
        <is>
          <t>contract_date_conflict</t>
        </is>
      </c>
      <c r="C31" t="inlineStr">
        <is>
          <t>medium</t>
        </is>
      </c>
      <c r="D31" s="14" t="n">
        <v>44958</v>
      </c>
      <c r="E31" t="inlineStr">
        <is>
          <t>C000328</t>
        </is>
      </c>
      <c r="F31" s="9" t="n">
        <v>280.8</v>
      </c>
      <c r="G31" t="inlineStr">
        <is>
          <t>Invoice date falls outside the linked contract</t>
        </is>
      </c>
    </row>
    <row r="32">
      <c r="A32" t="inlineStr">
        <is>
          <t>INV00005690</t>
        </is>
      </c>
      <c r="B32" t="inlineStr">
        <is>
          <t>contract_date_conflict</t>
        </is>
      </c>
      <c r="C32" t="inlineStr">
        <is>
          <t>medium</t>
        </is>
      </c>
      <c r="D32" s="14" t="n">
        <v>44958</v>
      </c>
      <c r="E32" t="inlineStr">
        <is>
          <t>C000406</t>
        </is>
      </c>
      <c r="F32" s="9" t="n">
        <v>195</v>
      </c>
      <c r="G32" t="inlineStr">
        <is>
          <t>Invoice date falls outside the linked contract</t>
        </is>
      </c>
    </row>
    <row r="33">
      <c r="A33" t="inlineStr">
        <is>
          <t>INV00005725</t>
        </is>
      </c>
      <c r="B33" t="inlineStr">
        <is>
          <t>contract_date_conflict</t>
        </is>
      </c>
      <c r="C33" t="inlineStr">
        <is>
          <t>medium</t>
        </is>
      </c>
      <c r="D33" s="14" t="n">
        <v>44958</v>
      </c>
      <c r="E33" t="inlineStr">
        <is>
          <t>C000407</t>
        </is>
      </c>
      <c r="F33" s="9" t="n">
        <v>468</v>
      </c>
      <c r="G33" t="inlineStr">
        <is>
          <t>Invoice date falls outside the linked contract</t>
        </is>
      </c>
    </row>
    <row r="34">
      <c r="A34" t="inlineStr">
        <is>
          <t>INV00005864</t>
        </is>
      </c>
      <c r="B34" t="inlineStr">
        <is>
          <t>contract_date_conflict</t>
        </is>
      </c>
      <c r="C34" t="inlineStr">
        <is>
          <t>medium</t>
        </is>
      </c>
      <c r="D34" s="14" t="n">
        <v>44958</v>
      </c>
      <c r="E34" t="inlineStr">
        <is>
          <t>C000419</t>
        </is>
      </c>
      <c r="F34" s="9" t="n">
        <v>280.8</v>
      </c>
      <c r="G34" t="inlineStr">
        <is>
          <t>Invoice date falls outside the linked contract</t>
        </is>
      </c>
    </row>
    <row r="35">
      <c r="A35" t="inlineStr">
        <is>
          <t>INV00006190</t>
        </is>
      </c>
      <c r="B35" t="inlineStr">
        <is>
          <t>contract_date_conflict</t>
        </is>
      </c>
      <c r="C35" t="inlineStr">
        <is>
          <t>medium</t>
        </is>
      </c>
      <c r="D35" s="14" t="n">
        <v>44958</v>
      </c>
      <c r="E35" t="inlineStr">
        <is>
          <t>C000441</t>
        </is>
      </c>
      <c r="F35" s="9" t="n">
        <v>195</v>
      </c>
      <c r="G35" t="inlineStr">
        <is>
          <t>Invoice date falls outside the linked contract</t>
        </is>
      </c>
    </row>
    <row r="36">
      <c r="A36" t="inlineStr">
        <is>
          <t>INV00006398</t>
        </is>
      </c>
      <c r="B36" t="inlineStr">
        <is>
          <t>contract_date_conflict</t>
        </is>
      </c>
      <c r="C36" t="inlineStr">
        <is>
          <t>medium</t>
        </is>
      </c>
      <c r="D36" s="14" t="n">
        <v>44958</v>
      </c>
      <c r="E36" t="inlineStr">
        <is>
          <t>C000456</t>
        </is>
      </c>
      <c r="F36" s="9" t="n">
        <v>245.7</v>
      </c>
      <c r="G36" t="inlineStr">
        <is>
          <t>Invoice date falls outside the linked contract</t>
        </is>
      </c>
    </row>
    <row r="37">
      <c r="A37" t="inlineStr">
        <is>
          <t>INV00006952</t>
        </is>
      </c>
      <c r="B37" t="inlineStr">
        <is>
          <t>contract_date_conflict</t>
        </is>
      </c>
      <c r="C37" t="inlineStr">
        <is>
          <t>medium</t>
        </is>
      </c>
      <c r="D37" s="14" t="n">
        <v>44958</v>
      </c>
      <c r="E37" t="inlineStr">
        <is>
          <t>C000492</t>
        </is>
      </c>
      <c r="F37" s="9" t="n">
        <v>1975</v>
      </c>
      <c r="G37" t="inlineStr">
        <is>
          <t>Invoice date falls outside the linked contract</t>
        </is>
      </c>
    </row>
    <row r="38">
      <c r="A38" t="inlineStr">
        <is>
          <t>INV00007046</t>
        </is>
      </c>
      <c r="B38" t="inlineStr">
        <is>
          <t>contract_date_conflict</t>
        </is>
      </c>
      <c r="C38" t="inlineStr">
        <is>
          <t>medium</t>
        </is>
      </c>
      <c r="D38" s="14" t="n">
        <v>44958</v>
      </c>
      <c r="E38" t="inlineStr">
        <is>
          <t>C000497</t>
        </is>
      </c>
      <c r="F38" s="9" t="n">
        <v>232.05</v>
      </c>
      <c r="G38" t="inlineStr">
        <is>
          <t>Invoice date falls outside the linked contract</t>
        </is>
      </c>
    </row>
    <row r="39">
      <c r="A39" t="inlineStr">
        <is>
          <t>INV00007263</t>
        </is>
      </c>
      <c r="B39" t="inlineStr">
        <is>
          <t>contract_date_conflict</t>
        </is>
      </c>
      <c r="C39" t="inlineStr">
        <is>
          <t>medium</t>
        </is>
      </c>
      <c r="D39" s="14" t="n">
        <v>44958</v>
      </c>
      <c r="E39" t="inlineStr">
        <is>
          <t>C000513</t>
        </is>
      </c>
      <c r="F39" s="9" t="n">
        <v>12367</v>
      </c>
      <c r="G39" t="inlineStr">
        <is>
          <t>Invoice date falls outside the linked contract</t>
        </is>
      </c>
    </row>
    <row r="40">
      <c r="A40" t="inlineStr">
        <is>
          <t>INV00007480</t>
        </is>
      </c>
      <c r="B40" t="inlineStr">
        <is>
          <t>contract_date_conflict</t>
        </is>
      </c>
      <c r="C40" t="inlineStr">
        <is>
          <t>medium</t>
        </is>
      </c>
      <c r="D40" s="14" t="n">
        <v>44958</v>
      </c>
      <c r="E40" t="inlineStr">
        <is>
          <t>C000526</t>
        </is>
      </c>
      <c r="F40" s="9" t="n">
        <v>2054</v>
      </c>
      <c r="G40" t="inlineStr">
        <is>
          <t>Invoice date falls outside the linked contract</t>
        </is>
      </c>
    </row>
    <row r="41">
      <c r="A41" t="inlineStr">
        <is>
          <t>INV00007830</t>
        </is>
      </c>
      <c r="B41" t="inlineStr">
        <is>
          <t>contract_date_conflict</t>
        </is>
      </c>
      <c r="C41" t="inlineStr">
        <is>
          <t>medium</t>
        </is>
      </c>
      <c r="D41" s="14" t="n">
        <v>44958</v>
      </c>
      <c r="E41" t="inlineStr">
        <is>
          <t>C000556</t>
        </is>
      </c>
      <c r="F41" s="9" t="n">
        <v>1580</v>
      </c>
      <c r="G41" t="inlineStr">
        <is>
          <t>Invoice date falls outside the linked contract</t>
        </is>
      </c>
    </row>
    <row r="42">
      <c r="A42" t="inlineStr">
        <is>
          <t>INV00009019</t>
        </is>
      </c>
      <c r="B42" t="inlineStr">
        <is>
          <t>contract_date_conflict</t>
        </is>
      </c>
      <c r="C42" t="inlineStr">
        <is>
          <t>medium</t>
        </is>
      </c>
      <c r="D42" s="14" t="n">
        <v>44958</v>
      </c>
      <c r="E42" t="inlineStr">
        <is>
          <t>C000633</t>
        </is>
      </c>
      <c r="F42" s="9" t="n">
        <v>273</v>
      </c>
      <c r="G42" t="inlineStr">
        <is>
          <t>Invoice date falls outside the linked contract</t>
        </is>
      </c>
    </row>
    <row r="43">
      <c r="A43" t="inlineStr">
        <is>
          <t>INV00009596</t>
        </is>
      </c>
      <c r="B43" t="inlineStr">
        <is>
          <t>contract_date_conflict</t>
        </is>
      </c>
      <c r="C43" t="inlineStr">
        <is>
          <t>medium</t>
        </is>
      </c>
      <c r="D43" s="14" t="n">
        <v>44958</v>
      </c>
      <c r="E43" t="inlineStr">
        <is>
          <t>C000677</t>
        </is>
      </c>
      <c r="F43" s="9" t="n">
        <v>7450</v>
      </c>
      <c r="G43" t="inlineStr">
        <is>
          <t>Invoice date falls outside the linked contract</t>
        </is>
      </c>
    </row>
    <row r="44">
      <c r="A44" t="inlineStr">
        <is>
          <t>INV00010707</t>
        </is>
      </c>
      <c r="B44" t="inlineStr">
        <is>
          <t>contract_date_conflict</t>
        </is>
      </c>
      <c r="C44" t="inlineStr">
        <is>
          <t>medium</t>
        </is>
      </c>
      <c r="D44" s="14" t="n">
        <v>44958</v>
      </c>
      <c r="E44" t="inlineStr">
        <is>
          <t>C000753</t>
        </is>
      </c>
      <c r="F44" s="9" t="n">
        <v>12277.6</v>
      </c>
      <c r="G44" t="inlineStr">
        <is>
          <t>Invoice date falls outside the linked contract</t>
        </is>
      </c>
    </row>
    <row r="45">
      <c r="A45" t="inlineStr">
        <is>
          <t>INV00010785</t>
        </is>
      </c>
      <c r="B45" t="inlineStr">
        <is>
          <t>contract_date_conflict</t>
        </is>
      </c>
      <c r="C45" t="inlineStr">
        <is>
          <t>medium</t>
        </is>
      </c>
      <c r="D45" s="14" t="n">
        <v>44958</v>
      </c>
      <c r="E45" t="inlineStr">
        <is>
          <t>C000756</t>
        </is>
      </c>
      <c r="F45" s="9" t="n">
        <v>948</v>
      </c>
      <c r="G45" t="inlineStr">
        <is>
          <t>Invoice date falls outside the linked contract</t>
        </is>
      </c>
    </row>
    <row r="46">
      <c r="A46" t="inlineStr">
        <is>
          <t>INV00010866</t>
        </is>
      </c>
      <c r="B46" t="inlineStr">
        <is>
          <t>contract_date_conflict</t>
        </is>
      </c>
      <c r="C46" t="inlineStr">
        <is>
          <t>medium</t>
        </is>
      </c>
      <c r="D46" s="14" t="n">
        <v>44958</v>
      </c>
      <c r="E46" t="inlineStr">
        <is>
          <t>C000762</t>
        </is>
      </c>
      <c r="F46" s="9" t="n">
        <v>210.6</v>
      </c>
      <c r="G46" t="inlineStr">
        <is>
          <t>Invoice date falls outside the linked contract</t>
        </is>
      </c>
    </row>
    <row r="47">
      <c r="A47" t="inlineStr">
        <is>
          <t>INV00011073</t>
        </is>
      </c>
      <c r="B47" t="inlineStr">
        <is>
          <t>contract_date_conflict</t>
        </is>
      </c>
      <c r="C47" t="inlineStr">
        <is>
          <t>medium</t>
        </is>
      </c>
      <c r="D47" s="14" t="n">
        <v>44958</v>
      </c>
      <c r="E47" t="inlineStr">
        <is>
          <t>C000779</t>
        </is>
      </c>
      <c r="F47" s="9" t="n">
        <v>8046</v>
      </c>
      <c r="G47" t="inlineStr">
        <is>
          <t>Invoice date falls outside the linked contract</t>
        </is>
      </c>
    </row>
    <row r="48">
      <c r="A48" t="inlineStr">
        <is>
          <t>INV00011455</t>
        </is>
      </c>
      <c r="B48" t="inlineStr">
        <is>
          <t>contract_date_conflict</t>
        </is>
      </c>
      <c r="C48" t="inlineStr">
        <is>
          <t>medium</t>
        </is>
      </c>
      <c r="D48" s="14" t="n">
        <v>44958</v>
      </c>
      <c r="E48" t="inlineStr">
        <is>
          <t>C000806</t>
        </is>
      </c>
      <c r="F48" s="9" t="n">
        <v>298.35</v>
      </c>
      <c r="G48" t="inlineStr">
        <is>
          <t>Invoice date falls outside the linked contract</t>
        </is>
      </c>
    </row>
    <row r="49">
      <c r="A49" t="inlineStr">
        <is>
          <t>INV00011651</t>
        </is>
      </c>
      <c r="B49" t="inlineStr">
        <is>
          <t>contract_date_conflict</t>
        </is>
      </c>
      <c r="C49" t="inlineStr">
        <is>
          <t>medium</t>
        </is>
      </c>
      <c r="D49" s="14" t="n">
        <v>44958</v>
      </c>
      <c r="E49" t="inlineStr">
        <is>
          <t>C000821</t>
        </is>
      </c>
      <c r="F49" s="9" t="n">
        <v>315.9</v>
      </c>
      <c r="G49" t="inlineStr">
        <is>
          <t>Invoice date falls outside the linked contract</t>
        </is>
      </c>
    </row>
    <row r="50">
      <c r="A50" t="inlineStr">
        <is>
          <t>INV00011832</t>
        </is>
      </c>
      <c r="B50" t="inlineStr">
        <is>
          <t>contract_date_conflict</t>
        </is>
      </c>
      <c r="C50" t="inlineStr">
        <is>
          <t>medium</t>
        </is>
      </c>
      <c r="D50" s="14" t="n">
        <v>44958</v>
      </c>
      <c r="E50" t="inlineStr">
        <is>
          <t>C000835</t>
        </is>
      </c>
      <c r="F50" s="9" t="n">
        <v>1817</v>
      </c>
      <c r="G50" t="inlineStr">
        <is>
          <t>Invoice date falls outside the linked contract</t>
        </is>
      </c>
    </row>
    <row r="51">
      <c r="A51" t="inlineStr">
        <is>
          <t>INV00011885</t>
        </is>
      </c>
      <c r="B51" t="inlineStr">
        <is>
          <t>contract_date_conflict</t>
        </is>
      </c>
      <c r="C51" t="inlineStr">
        <is>
          <t>medium</t>
        </is>
      </c>
      <c r="D51" s="14" t="n">
        <v>44958</v>
      </c>
      <c r="E51" t="inlineStr">
        <is>
          <t>C000837</t>
        </is>
      </c>
      <c r="F51" s="9" t="n">
        <v>1817</v>
      </c>
      <c r="G51" t="inlineStr">
        <is>
          <t>Invoice date falls outside the linked contract</t>
        </is>
      </c>
    </row>
    <row r="52">
      <c r="A52" t="inlineStr">
        <is>
          <t>INV00011955</t>
        </is>
      </c>
      <c r="B52" t="inlineStr">
        <is>
          <t>contract_date_conflict</t>
        </is>
      </c>
      <c r="C52" t="inlineStr">
        <is>
          <t>medium</t>
        </is>
      </c>
      <c r="D52" s="14" t="n">
        <v>44958</v>
      </c>
      <c r="E52" t="inlineStr">
        <is>
          <t>C000840</t>
        </is>
      </c>
      <c r="F52" s="9" t="n">
        <v>195</v>
      </c>
      <c r="G52" t="inlineStr">
        <is>
          <t>Invoice date falls outside the linked contract</t>
        </is>
      </c>
    </row>
    <row r="53">
      <c r="A53" t="inlineStr">
        <is>
          <t>INV00012562</t>
        </is>
      </c>
      <c r="B53" t="inlineStr">
        <is>
          <t>contract_date_conflict</t>
        </is>
      </c>
      <c r="C53" t="inlineStr">
        <is>
          <t>medium</t>
        </is>
      </c>
      <c r="D53" s="14" t="n">
        <v>44958</v>
      </c>
      <c r="E53" t="inlineStr">
        <is>
          <t>C000886</t>
        </is>
      </c>
      <c r="F53" s="9" t="n">
        <v>280.8</v>
      </c>
      <c r="G53" t="inlineStr">
        <is>
          <t>Invoice date falls outside the linked contract</t>
        </is>
      </c>
    </row>
    <row r="54">
      <c r="A54" t="inlineStr">
        <is>
          <t>INV00012597</t>
        </is>
      </c>
      <c r="B54" t="inlineStr">
        <is>
          <t>contract_date_conflict</t>
        </is>
      </c>
      <c r="C54" t="inlineStr">
        <is>
          <t>medium</t>
        </is>
      </c>
      <c r="D54" s="14" t="n">
        <v>44958</v>
      </c>
      <c r="E54" t="inlineStr">
        <is>
          <t>C000888</t>
        </is>
      </c>
      <c r="F54" s="9" t="n">
        <v>444.6</v>
      </c>
      <c r="G54" t="inlineStr">
        <is>
          <t>Invoice date falls outside the linked contract</t>
        </is>
      </c>
    </row>
    <row r="55">
      <c r="A55" t="inlineStr">
        <is>
          <t>INV00012862</t>
        </is>
      </c>
      <c r="B55" t="inlineStr">
        <is>
          <t>contract_date_conflict</t>
        </is>
      </c>
      <c r="C55" t="inlineStr">
        <is>
          <t>medium</t>
        </is>
      </c>
      <c r="D55" s="14" t="n">
        <v>44958</v>
      </c>
      <c r="E55" t="inlineStr">
        <is>
          <t>C000906</t>
        </is>
      </c>
      <c r="F55" s="9" t="n">
        <v>351</v>
      </c>
      <c r="G55" t="inlineStr">
        <is>
          <t>Invoice date falls outside the linked contract</t>
        </is>
      </c>
    </row>
    <row r="56">
      <c r="A56" t="inlineStr">
        <is>
          <t>INV00013012</t>
        </is>
      </c>
      <c r="B56" t="inlineStr">
        <is>
          <t>contract_date_conflict</t>
        </is>
      </c>
      <c r="C56" t="inlineStr">
        <is>
          <t>medium</t>
        </is>
      </c>
      <c r="D56" s="14" t="n">
        <v>44958</v>
      </c>
      <c r="E56" t="inlineStr">
        <is>
          <t>C000914</t>
        </is>
      </c>
      <c r="F56" s="9" t="n">
        <v>351</v>
      </c>
      <c r="G56" t="inlineStr">
        <is>
          <t>Invoice date falls outside the linked contract</t>
        </is>
      </c>
    </row>
    <row r="57">
      <c r="A57" t="inlineStr">
        <is>
          <t>INV00014078</t>
        </is>
      </c>
      <c r="B57" t="inlineStr">
        <is>
          <t>contract_date_conflict</t>
        </is>
      </c>
      <c r="C57" t="inlineStr">
        <is>
          <t>medium</t>
        </is>
      </c>
      <c r="D57" s="14" t="n">
        <v>44958</v>
      </c>
      <c r="E57" t="inlineStr">
        <is>
          <t>C000991</t>
        </is>
      </c>
      <c r="F57" s="9" t="n">
        <v>1343</v>
      </c>
      <c r="G57" t="inlineStr">
        <is>
          <t>Invoice date falls outside the linked contract</t>
        </is>
      </c>
    </row>
    <row r="58">
      <c r="A58" t="inlineStr">
        <is>
          <t>INV00015271</t>
        </is>
      </c>
      <c r="B58" t="inlineStr">
        <is>
          <t>contract_date_conflict</t>
        </is>
      </c>
      <c r="C58" t="inlineStr">
        <is>
          <t>medium</t>
        </is>
      </c>
      <c r="D58" s="14" t="n">
        <v>44958</v>
      </c>
      <c r="E58" t="inlineStr">
        <is>
          <t>C001068</t>
        </is>
      </c>
      <c r="F58" s="9" t="n">
        <v>234</v>
      </c>
      <c r="G58" t="inlineStr">
        <is>
          <t>Invoice date falls outside the linked contract</t>
        </is>
      </c>
    </row>
    <row r="59">
      <c r="A59" t="inlineStr">
        <is>
          <t>INV00016243</t>
        </is>
      </c>
      <c r="B59" t="inlineStr">
        <is>
          <t>contract_date_conflict</t>
        </is>
      </c>
      <c r="C59" t="inlineStr">
        <is>
          <t>medium</t>
        </is>
      </c>
      <c r="D59" s="14" t="n">
        <v>44958</v>
      </c>
      <c r="E59" t="inlineStr">
        <is>
          <t>C001133</t>
        </is>
      </c>
      <c r="F59" s="9" t="n">
        <v>2607</v>
      </c>
      <c r="G59" t="inlineStr">
        <is>
          <t>Invoice date falls outside the linked contract</t>
        </is>
      </c>
    </row>
    <row r="60">
      <c r="A60" t="inlineStr">
        <is>
          <t>INV00016308</t>
        </is>
      </c>
      <c r="B60" t="inlineStr">
        <is>
          <t>contract_date_conflict</t>
        </is>
      </c>
      <c r="C60" t="inlineStr">
        <is>
          <t>medium</t>
        </is>
      </c>
      <c r="D60" s="14" t="n">
        <v>44958</v>
      </c>
      <c r="E60" t="inlineStr">
        <is>
          <t>C001138</t>
        </is>
      </c>
      <c r="F60" s="9" t="n">
        <v>11026</v>
      </c>
      <c r="G60" t="inlineStr">
        <is>
          <t>Invoice date falls outside the linked contract</t>
        </is>
      </c>
    </row>
    <row r="61">
      <c r="A61" t="inlineStr">
        <is>
          <t>INV00016530</t>
        </is>
      </c>
      <c r="B61" t="inlineStr">
        <is>
          <t>contract_date_conflict</t>
        </is>
      </c>
      <c r="C61" t="inlineStr">
        <is>
          <t>medium</t>
        </is>
      </c>
      <c r="D61" s="14" t="n">
        <v>44958</v>
      </c>
      <c r="E61" t="inlineStr">
        <is>
          <t>C001152</t>
        </is>
      </c>
      <c r="F61" s="9" t="n">
        <v>10728</v>
      </c>
      <c r="G61" t="inlineStr">
        <is>
          <t>Invoice date falls outside the linked contract</t>
        </is>
      </c>
    </row>
    <row r="62">
      <c r="A62" t="inlineStr">
        <is>
          <t>INV00000692</t>
        </is>
      </c>
      <c r="B62" t="inlineStr">
        <is>
          <t>contract_date_conflict</t>
        </is>
      </c>
      <c r="C62" t="inlineStr">
        <is>
          <t>medium</t>
        </is>
      </c>
      <c r="D62" s="14" t="n">
        <v>44986</v>
      </c>
      <c r="E62" t="inlineStr">
        <is>
          <t>C000046</t>
        </is>
      </c>
      <c r="F62" s="9" t="n">
        <v>2528</v>
      </c>
      <c r="G62" t="inlineStr">
        <is>
          <t>Invoice date falls outside the linked contract</t>
        </is>
      </c>
    </row>
    <row r="63">
      <c r="A63" t="inlineStr">
        <is>
          <t>INV00000747</t>
        </is>
      </c>
      <c r="B63" t="inlineStr">
        <is>
          <t>contract_date_conflict</t>
        </is>
      </c>
      <c r="C63" t="inlineStr">
        <is>
          <t>medium</t>
        </is>
      </c>
      <c r="D63" s="14" t="n">
        <v>44986</v>
      </c>
      <c r="E63" t="inlineStr">
        <is>
          <t>C000048</t>
        </is>
      </c>
      <c r="F63" s="9" t="n">
        <v>1501</v>
      </c>
      <c r="G63" t="inlineStr">
        <is>
          <t>Invoice date falls outside the linked contract</t>
        </is>
      </c>
    </row>
    <row r="64">
      <c r="A64" t="inlineStr">
        <is>
          <t>INV00001035</t>
        </is>
      </c>
      <c r="B64" t="inlineStr">
        <is>
          <t>contract_date_conflict</t>
        </is>
      </c>
      <c r="C64" t="inlineStr">
        <is>
          <t>medium</t>
        </is>
      </c>
      <c r="D64" s="14" t="n">
        <v>44986</v>
      </c>
      <c r="E64" t="inlineStr">
        <is>
          <t>C000070</t>
        </is>
      </c>
      <c r="F64" s="9" t="n">
        <v>351</v>
      </c>
      <c r="G64" t="inlineStr">
        <is>
          <t>Invoice date falls outside the linked contract</t>
        </is>
      </c>
    </row>
    <row r="65">
      <c r="A65" t="inlineStr">
        <is>
          <t>INV00001921</t>
        </is>
      </c>
      <c r="B65" t="inlineStr">
        <is>
          <t>contract_date_conflict</t>
        </is>
      </c>
      <c r="C65" t="inlineStr">
        <is>
          <t>medium</t>
        </is>
      </c>
      <c r="D65" s="14" t="n">
        <v>44986</v>
      </c>
      <c r="E65" t="inlineStr">
        <is>
          <t>C000132</t>
        </is>
      </c>
      <c r="F65" s="9" t="n">
        <v>273</v>
      </c>
      <c r="G65" t="inlineStr">
        <is>
          <t>Invoice date falls outside the linked contract</t>
        </is>
      </c>
    </row>
    <row r="66">
      <c r="A66" t="inlineStr">
        <is>
          <t>INV00001965</t>
        </is>
      </c>
      <c r="B66" t="inlineStr">
        <is>
          <t>contract_date_conflict</t>
        </is>
      </c>
      <c r="C66" t="inlineStr">
        <is>
          <t>medium</t>
        </is>
      </c>
      <c r="D66" s="14" t="n">
        <v>44986</v>
      </c>
      <c r="E66" t="inlineStr">
        <is>
          <t>C000137</t>
        </is>
      </c>
      <c r="F66" s="9" t="n">
        <v>1343</v>
      </c>
      <c r="G66" t="inlineStr">
        <is>
          <t>Invoice date falls outside the linked contract</t>
        </is>
      </c>
    </row>
    <row r="67">
      <c r="A67" t="inlineStr">
        <is>
          <t>INV00002577</t>
        </is>
      </c>
      <c r="B67" t="inlineStr">
        <is>
          <t>contract_date_conflict</t>
        </is>
      </c>
      <c r="C67" t="inlineStr">
        <is>
          <t>medium</t>
        </is>
      </c>
      <c r="D67" s="14" t="n">
        <v>44986</v>
      </c>
      <c r="E67" t="inlineStr">
        <is>
          <t>C000185</t>
        </is>
      </c>
      <c r="F67" s="9" t="n">
        <v>1264</v>
      </c>
      <c r="G67" t="inlineStr">
        <is>
          <t>Invoice date falls outside the linked contract</t>
        </is>
      </c>
    </row>
    <row r="68">
      <c r="A68" t="inlineStr">
        <is>
          <t>INV00003438</t>
        </is>
      </c>
      <c r="B68" t="inlineStr">
        <is>
          <t>contract_date_conflict</t>
        </is>
      </c>
      <c r="C68" t="inlineStr">
        <is>
          <t>medium</t>
        </is>
      </c>
      <c r="D68" s="14" t="n">
        <v>44986</v>
      </c>
      <c r="E68" t="inlineStr">
        <is>
          <t>C000250</t>
        </is>
      </c>
      <c r="F68" s="9" t="n">
        <v>218.4</v>
      </c>
      <c r="G68" t="inlineStr">
        <is>
          <t>Invoice date falls outside the linked contract</t>
        </is>
      </c>
    </row>
    <row r="69">
      <c r="A69" t="inlineStr">
        <is>
          <t>INV00004889</t>
        </is>
      </c>
      <c r="B69" t="inlineStr">
        <is>
          <t>contract_date_conflict</t>
        </is>
      </c>
      <c r="C69" t="inlineStr">
        <is>
          <t>medium</t>
        </is>
      </c>
      <c r="D69" s="14" t="n">
        <v>44986</v>
      </c>
      <c r="E69" t="inlineStr">
        <is>
          <t>C000357</t>
        </is>
      </c>
      <c r="F69" s="9" t="n">
        <v>198.9</v>
      </c>
      <c r="G69" t="inlineStr">
        <is>
          <t>Invoice date falls outside the linked contract</t>
        </is>
      </c>
    </row>
    <row r="70">
      <c r="A70" t="inlineStr">
        <is>
          <t>INV00005072</t>
        </is>
      </c>
      <c r="B70" t="inlineStr">
        <is>
          <t>contract_date_conflict</t>
        </is>
      </c>
      <c r="C70" t="inlineStr">
        <is>
          <t>medium</t>
        </is>
      </c>
      <c r="D70" s="14" t="n">
        <v>44986</v>
      </c>
      <c r="E70" t="inlineStr">
        <is>
          <t>C000366</t>
        </is>
      </c>
      <c r="F70" s="9" t="n">
        <v>585</v>
      </c>
      <c r="G70" t="inlineStr">
        <is>
          <t>Invoice date falls outside the linked contract</t>
        </is>
      </c>
    </row>
    <row r="71">
      <c r="A71" t="inlineStr">
        <is>
          <t>INV00005279</t>
        </is>
      </c>
      <c r="B71" t="inlineStr">
        <is>
          <t>contract_date_conflict</t>
        </is>
      </c>
      <c r="C71" t="inlineStr">
        <is>
          <t>medium</t>
        </is>
      </c>
      <c r="D71" s="14" t="n">
        <v>44986</v>
      </c>
      <c r="E71" t="inlineStr">
        <is>
          <t>C000382</t>
        </is>
      </c>
      <c r="F71" s="9" t="n">
        <v>1580</v>
      </c>
      <c r="G71" t="inlineStr">
        <is>
          <t>Invoice date falls outside the linked contract</t>
        </is>
      </c>
    </row>
    <row r="72">
      <c r="A72" t="inlineStr">
        <is>
          <t>INV00006481</t>
        </is>
      </c>
      <c r="B72" t="inlineStr">
        <is>
          <t>contract_date_conflict</t>
        </is>
      </c>
      <c r="C72" t="inlineStr">
        <is>
          <t>medium</t>
        </is>
      </c>
      <c r="D72" s="14" t="n">
        <v>44986</v>
      </c>
      <c r="E72" t="inlineStr">
        <is>
          <t>C000460</t>
        </is>
      </c>
      <c r="F72" s="9" t="n">
        <v>1919.7</v>
      </c>
      <c r="G72" t="inlineStr">
        <is>
          <t>Invoice date falls outside the linked contract</t>
        </is>
      </c>
    </row>
    <row r="73">
      <c r="A73" t="inlineStr">
        <is>
          <t>INV00006591</t>
        </is>
      </c>
      <c r="B73" t="inlineStr">
        <is>
          <t>contract_date_conflict</t>
        </is>
      </c>
      <c r="C73" t="inlineStr">
        <is>
          <t>medium</t>
        </is>
      </c>
      <c r="D73" s="14" t="n">
        <v>44986</v>
      </c>
      <c r="E73" t="inlineStr">
        <is>
          <t>C000473</t>
        </is>
      </c>
      <c r="F73" s="9" t="n">
        <v>222.3</v>
      </c>
      <c r="G73" t="inlineStr">
        <is>
          <t>Invoice date falls outside the linked contract</t>
        </is>
      </c>
    </row>
    <row r="74">
      <c r="A74" t="inlineStr">
        <is>
          <t>INV00006725</t>
        </is>
      </c>
      <c r="B74" t="inlineStr">
        <is>
          <t>contract_date_conflict</t>
        </is>
      </c>
      <c r="C74" t="inlineStr">
        <is>
          <t>medium</t>
        </is>
      </c>
      <c r="D74" s="14" t="n">
        <v>44986</v>
      </c>
      <c r="E74" t="inlineStr">
        <is>
          <t>C000480</t>
        </is>
      </c>
      <c r="F74" s="9" t="n">
        <v>2370</v>
      </c>
      <c r="G74" t="inlineStr">
        <is>
          <t>Invoice date falls outside the linked contract</t>
        </is>
      </c>
    </row>
    <row r="75">
      <c r="A75" t="inlineStr">
        <is>
          <t>INV00007084</t>
        </is>
      </c>
      <c r="B75" t="inlineStr">
        <is>
          <t>contract_date_conflict</t>
        </is>
      </c>
      <c r="C75" t="inlineStr">
        <is>
          <t>medium</t>
        </is>
      </c>
      <c r="D75" s="14" t="n">
        <v>44986</v>
      </c>
      <c r="E75" t="inlineStr">
        <is>
          <t>C000499</t>
        </is>
      </c>
      <c r="F75" s="9" t="n">
        <v>1477.3</v>
      </c>
      <c r="G75" t="inlineStr">
        <is>
          <t>Invoice date falls outside the linked contract</t>
        </is>
      </c>
    </row>
    <row r="76">
      <c r="A76" t="inlineStr">
        <is>
          <t>INV00007239</t>
        </is>
      </c>
      <c r="B76" t="inlineStr">
        <is>
          <t>contract_date_conflict</t>
        </is>
      </c>
      <c r="C76" t="inlineStr">
        <is>
          <t>medium</t>
        </is>
      </c>
      <c r="D76" s="14" t="n">
        <v>44986</v>
      </c>
      <c r="E76" t="inlineStr">
        <is>
          <t>C000507</t>
        </is>
      </c>
      <c r="F76" s="9" t="n">
        <v>195</v>
      </c>
      <c r="G76" t="inlineStr">
        <is>
          <t>Invoice date falls outside the linked contract</t>
        </is>
      </c>
    </row>
    <row r="77">
      <c r="A77" t="inlineStr">
        <is>
          <t>INV00008065</t>
        </is>
      </c>
      <c r="B77" t="inlineStr">
        <is>
          <t>contract_date_conflict</t>
        </is>
      </c>
      <c r="C77" t="inlineStr">
        <is>
          <t>medium</t>
        </is>
      </c>
      <c r="D77" s="14" t="n">
        <v>44986</v>
      </c>
      <c r="E77" t="inlineStr">
        <is>
          <t>C000573</t>
        </is>
      </c>
      <c r="F77" s="9" t="n">
        <v>1564.2</v>
      </c>
      <c r="G77" t="inlineStr">
        <is>
          <t>Invoice date falls outside the linked contract</t>
        </is>
      </c>
    </row>
    <row r="78">
      <c r="A78" t="inlineStr">
        <is>
          <t>INV00008799</t>
        </is>
      </c>
      <c r="B78" t="inlineStr">
        <is>
          <t>contract_date_conflict</t>
        </is>
      </c>
      <c r="C78" t="inlineStr">
        <is>
          <t>medium</t>
        </is>
      </c>
      <c r="D78" s="14" t="n">
        <v>44986</v>
      </c>
      <c r="E78" t="inlineStr">
        <is>
          <t>C000621</t>
        </is>
      </c>
      <c r="F78" s="9" t="n">
        <v>1066.5</v>
      </c>
      <c r="G78" t="inlineStr">
        <is>
          <t>Invoice date falls outside the linked contract</t>
        </is>
      </c>
    </row>
    <row r="79">
      <c r="A79" t="inlineStr">
        <is>
          <t>INV00011421</t>
        </is>
      </c>
      <c r="B79" t="inlineStr">
        <is>
          <t>contract_date_conflict</t>
        </is>
      </c>
      <c r="C79" t="inlineStr">
        <is>
          <t>medium</t>
        </is>
      </c>
      <c r="D79" s="14" t="n">
        <v>44986</v>
      </c>
      <c r="E79" t="inlineStr">
        <is>
          <t>C000805</t>
        </is>
      </c>
      <c r="F79" s="9" t="n">
        <v>312</v>
      </c>
      <c r="G79" t="inlineStr">
        <is>
          <t>Invoice date falls outside the linked contract</t>
        </is>
      </c>
    </row>
    <row r="80">
      <c r="A80" t="inlineStr">
        <is>
          <t>INV00011686</t>
        </is>
      </c>
      <c r="B80" t="inlineStr">
        <is>
          <t>contract_date_conflict</t>
        </is>
      </c>
      <c r="C80" t="inlineStr">
        <is>
          <t>medium</t>
        </is>
      </c>
      <c r="D80" s="14" t="n">
        <v>44986</v>
      </c>
      <c r="E80" t="inlineStr">
        <is>
          <t>C000822</t>
        </is>
      </c>
      <c r="F80" s="9" t="n">
        <v>1185</v>
      </c>
      <c r="G80" t="inlineStr">
        <is>
          <t>Invoice date falls outside the linked contract</t>
        </is>
      </c>
    </row>
    <row r="81">
      <c r="A81" t="inlineStr">
        <is>
          <t>INV00012101</t>
        </is>
      </c>
      <c r="B81" t="inlineStr">
        <is>
          <t>contract_date_conflict</t>
        </is>
      </c>
      <c r="C81" t="inlineStr">
        <is>
          <t>medium</t>
        </is>
      </c>
      <c r="D81" s="14" t="n">
        <v>44986</v>
      </c>
      <c r="E81" t="inlineStr">
        <is>
          <t>C000850</t>
        </is>
      </c>
      <c r="F81" s="9" t="n">
        <v>175.5</v>
      </c>
      <c r="G81" t="inlineStr">
        <is>
          <t>Invoice date falls outside the linked contract</t>
        </is>
      </c>
    </row>
    <row r="82">
      <c r="A82" t="inlineStr">
        <is>
          <t>INV00012135</t>
        </is>
      </c>
      <c r="B82" t="inlineStr">
        <is>
          <t>contract_date_conflict</t>
        </is>
      </c>
      <c r="C82" t="inlineStr">
        <is>
          <t>medium</t>
        </is>
      </c>
      <c r="D82" s="14" t="n">
        <v>44986</v>
      </c>
      <c r="E82" t="inlineStr">
        <is>
          <t>C000853</t>
        </is>
      </c>
      <c r="F82" s="9" t="n">
        <v>351</v>
      </c>
      <c r="G82" t="inlineStr">
        <is>
          <t>Invoice date falls outside the linked contract</t>
        </is>
      </c>
    </row>
    <row r="83">
      <c r="A83" t="inlineStr">
        <is>
          <t>INV00012467</t>
        </is>
      </c>
      <c r="B83" t="inlineStr">
        <is>
          <t>contract_date_conflict</t>
        </is>
      </c>
      <c r="C83" t="inlineStr">
        <is>
          <t>medium</t>
        </is>
      </c>
      <c r="D83" s="14" t="n">
        <v>44986</v>
      </c>
      <c r="E83" t="inlineStr">
        <is>
          <t>C000879</t>
        </is>
      </c>
      <c r="F83" s="9" t="n">
        <v>273</v>
      </c>
      <c r="G83" t="inlineStr">
        <is>
          <t>Invoice date falls outside the linked contract</t>
        </is>
      </c>
    </row>
    <row r="84">
      <c r="A84" t="inlineStr">
        <is>
          <t>INV00012951</t>
        </is>
      </c>
      <c r="B84" t="inlineStr">
        <is>
          <t>contract_date_conflict</t>
        </is>
      </c>
      <c r="C84" t="inlineStr">
        <is>
          <t>medium</t>
        </is>
      </c>
      <c r="D84" s="14" t="n">
        <v>44986</v>
      </c>
      <c r="E84" t="inlineStr">
        <is>
          <t>C000911</t>
        </is>
      </c>
      <c r="F84" s="9" t="n">
        <v>3160</v>
      </c>
      <c r="G84" t="inlineStr">
        <is>
          <t>Invoice date falls outside the linked contract</t>
        </is>
      </c>
    </row>
    <row r="85">
      <c r="A85" t="inlineStr">
        <is>
          <t>INV00014517</t>
        </is>
      </c>
      <c r="B85" t="inlineStr">
        <is>
          <t>contract_date_conflict</t>
        </is>
      </c>
      <c r="C85" t="inlineStr">
        <is>
          <t>medium</t>
        </is>
      </c>
      <c r="D85" s="14" t="n">
        <v>44986</v>
      </c>
      <c r="E85" t="inlineStr">
        <is>
          <t>C001018</t>
        </is>
      </c>
      <c r="F85" s="9" t="n">
        <v>175.5</v>
      </c>
      <c r="G85" t="inlineStr">
        <is>
          <t>Invoice date falls outside the linked contract</t>
        </is>
      </c>
    </row>
    <row r="86">
      <c r="A86" t="inlineStr">
        <is>
          <t>INV00014627</t>
        </is>
      </c>
      <c r="B86" t="inlineStr">
        <is>
          <t>contract_date_conflict</t>
        </is>
      </c>
      <c r="C86" t="inlineStr">
        <is>
          <t>medium</t>
        </is>
      </c>
      <c r="D86" s="14" t="n">
        <v>44986</v>
      </c>
      <c r="E86" t="inlineStr">
        <is>
          <t>C001023</t>
        </is>
      </c>
      <c r="F86" s="9" t="n">
        <v>9089</v>
      </c>
      <c r="G86" t="inlineStr">
        <is>
          <t>Invoice date falls outside the linked contract</t>
        </is>
      </c>
    </row>
    <row r="87">
      <c r="A87" t="inlineStr">
        <is>
          <t>INV00014703</t>
        </is>
      </c>
      <c r="B87" t="inlineStr">
        <is>
          <t>contract_date_conflict</t>
        </is>
      </c>
      <c r="C87" t="inlineStr">
        <is>
          <t>medium</t>
        </is>
      </c>
      <c r="D87" s="14" t="n">
        <v>44986</v>
      </c>
      <c r="E87" t="inlineStr">
        <is>
          <t>C001028</t>
        </is>
      </c>
      <c r="F87" s="9" t="n">
        <v>11920</v>
      </c>
      <c r="G87" t="inlineStr">
        <is>
          <t>Invoice date falls outside the linked contract</t>
        </is>
      </c>
    </row>
    <row r="88">
      <c r="A88" t="inlineStr">
        <is>
          <t>INV00015863</t>
        </is>
      </c>
      <c r="B88" t="inlineStr">
        <is>
          <t>contract_date_conflict</t>
        </is>
      </c>
      <c r="C88" t="inlineStr">
        <is>
          <t>medium</t>
        </is>
      </c>
      <c r="D88" s="14" t="n">
        <v>44986</v>
      </c>
      <c r="E88" t="inlineStr">
        <is>
          <t>C001100</t>
        </is>
      </c>
      <c r="F88" s="9" t="n">
        <v>1477.3</v>
      </c>
      <c r="G88" t="inlineStr">
        <is>
          <t>Invoice date falls outside the linked contract</t>
        </is>
      </c>
    </row>
    <row r="89">
      <c r="A89" t="inlineStr">
        <is>
          <t>INV00017189</t>
        </is>
      </c>
      <c r="B89" t="inlineStr">
        <is>
          <t>contract_date_conflict</t>
        </is>
      </c>
      <c r="C89" t="inlineStr">
        <is>
          <t>medium</t>
        </is>
      </c>
      <c r="D89" s="14" t="n">
        <v>44986</v>
      </c>
      <c r="E89" t="inlineStr">
        <is>
          <t>C001192</t>
        </is>
      </c>
      <c r="F89" s="9" t="n">
        <v>234</v>
      </c>
      <c r="G89" t="inlineStr">
        <is>
          <t>Invoice date falls outside the linked contract</t>
        </is>
      </c>
    </row>
    <row r="90">
      <c r="A90" t="inlineStr">
        <is>
          <t>INV00000272</t>
        </is>
      </c>
      <c r="B90" t="inlineStr">
        <is>
          <t>contract_date_conflict</t>
        </is>
      </c>
      <c r="C90" t="inlineStr">
        <is>
          <t>medium</t>
        </is>
      </c>
      <c r="D90" s="14" t="n">
        <v>45017</v>
      </c>
      <c r="E90" t="inlineStr">
        <is>
          <t>C000022</t>
        </is>
      </c>
      <c r="F90" s="9" t="n">
        <v>2449</v>
      </c>
      <c r="G90" t="inlineStr">
        <is>
          <t>Invoice date falls outside the linked contract</t>
        </is>
      </c>
    </row>
    <row r="91">
      <c r="A91" t="inlineStr">
        <is>
          <t>INV00000358</t>
        </is>
      </c>
      <c r="B91" t="inlineStr">
        <is>
          <t>contract_date_conflict</t>
        </is>
      </c>
      <c r="C91" t="inlineStr">
        <is>
          <t>medium</t>
        </is>
      </c>
      <c r="D91" s="14" t="n">
        <v>45017</v>
      </c>
      <c r="E91" t="inlineStr">
        <is>
          <t>C000028</t>
        </is>
      </c>
      <c r="F91" s="9" t="n">
        <v>1975</v>
      </c>
      <c r="G91" t="inlineStr">
        <is>
          <t>Invoice date falls outside the linked contract</t>
        </is>
      </c>
    </row>
    <row r="92">
      <c r="A92" t="inlineStr">
        <is>
          <t>INV00000502</t>
        </is>
      </c>
      <c r="B92" t="inlineStr">
        <is>
          <t>contract_date_conflict</t>
        </is>
      </c>
      <c r="C92" t="inlineStr">
        <is>
          <t>medium</t>
        </is>
      </c>
      <c r="D92" s="14" t="n">
        <v>45017</v>
      </c>
      <c r="E92" t="inlineStr">
        <is>
          <t>C000034</t>
        </is>
      </c>
      <c r="F92" s="9" t="n">
        <v>195</v>
      </c>
      <c r="G92" t="inlineStr">
        <is>
          <t>Invoice date falls outside the linked contract</t>
        </is>
      </c>
    </row>
    <row r="93">
      <c r="A93" t="inlineStr">
        <is>
          <t>INV00000607</t>
        </is>
      </c>
      <c r="B93" t="inlineStr">
        <is>
          <t>contract_date_conflict</t>
        </is>
      </c>
      <c r="C93" t="inlineStr">
        <is>
          <t>medium</t>
        </is>
      </c>
      <c r="D93" s="14" t="n">
        <v>45017</v>
      </c>
      <c r="E93" t="inlineStr">
        <is>
          <t>C000042</t>
        </is>
      </c>
      <c r="F93" s="9" t="n">
        <v>222.3</v>
      </c>
      <c r="G93" t="inlineStr">
        <is>
          <t>Invoice date falls outside the linked contract</t>
        </is>
      </c>
    </row>
    <row r="94">
      <c r="A94" t="inlineStr">
        <is>
          <t>INV00000939</t>
        </is>
      </c>
      <c r="B94" t="inlineStr">
        <is>
          <t>contract_date_conflict</t>
        </is>
      </c>
      <c r="C94" t="inlineStr">
        <is>
          <t>medium</t>
        </is>
      </c>
      <c r="D94" s="14" t="n">
        <v>45017</v>
      </c>
      <c r="E94" t="inlineStr">
        <is>
          <t>C000061</t>
        </is>
      </c>
      <c r="F94" s="9" t="n">
        <v>1848.6</v>
      </c>
      <c r="G94" t="inlineStr">
        <is>
          <t>Invoice date falls outside the linked contract</t>
        </is>
      </c>
    </row>
    <row r="95">
      <c r="A95" t="inlineStr">
        <is>
          <t>INV00001550</t>
        </is>
      </c>
      <c r="B95" t="inlineStr">
        <is>
          <t>contract_date_conflict</t>
        </is>
      </c>
      <c r="C95" t="inlineStr">
        <is>
          <t>medium</t>
        </is>
      </c>
      <c r="D95" s="14" t="n">
        <v>45017</v>
      </c>
      <c r="E95" t="inlineStr">
        <is>
          <t>C000106</t>
        </is>
      </c>
      <c r="F95" s="9" t="n">
        <v>195</v>
      </c>
      <c r="G95" t="inlineStr">
        <is>
          <t>Invoice date falls outside the linked contract</t>
        </is>
      </c>
    </row>
    <row r="96">
      <c r="A96" t="inlineStr">
        <is>
          <t>INV00001789</t>
        </is>
      </c>
      <c r="B96" t="inlineStr">
        <is>
          <t>contract_date_conflict</t>
        </is>
      </c>
      <c r="C96" t="inlineStr">
        <is>
          <t>medium</t>
        </is>
      </c>
      <c r="D96" s="14" t="n">
        <v>45017</v>
      </c>
      <c r="E96" t="inlineStr">
        <is>
          <t>C000121</t>
        </is>
      </c>
      <c r="F96" s="9" t="n">
        <v>6965.75</v>
      </c>
      <c r="G96" t="inlineStr">
        <is>
          <t>Invoice date falls outside the linked contract</t>
        </is>
      </c>
    </row>
    <row r="97">
      <c r="A97" t="inlineStr">
        <is>
          <t>INV00003836</t>
        </is>
      </c>
      <c r="B97" t="inlineStr">
        <is>
          <t>contract_date_conflict</t>
        </is>
      </c>
      <c r="C97" t="inlineStr">
        <is>
          <t>medium</t>
        </is>
      </c>
      <c r="D97" s="14" t="n">
        <v>45017</v>
      </c>
      <c r="E97" t="inlineStr">
        <is>
          <t>C000283</t>
        </is>
      </c>
      <c r="F97" s="9" t="n">
        <v>245.7</v>
      </c>
      <c r="G97" t="inlineStr">
        <is>
          <t>Invoice date falls outside the linked contract</t>
        </is>
      </c>
    </row>
    <row r="98">
      <c r="A98" t="inlineStr">
        <is>
          <t>INV00004099</t>
        </is>
      </c>
      <c r="B98" t="inlineStr">
        <is>
          <t>contract_date_conflict</t>
        </is>
      </c>
      <c r="C98" t="inlineStr">
        <is>
          <t>medium</t>
        </is>
      </c>
      <c r="D98" s="14" t="n">
        <v>45017</v>
      </c>
      <c r="E98" t="inlineStr">
        <is>
          <t>C000305</t>
        </is>
      </c>
      <c r="F98" s="9" t="n">
        <v>12963</v>
      </c>
      <c r="G98" t="inlineStr">
        <is>
          <t>Invoice date falls outside the linked contract</t>
        </is>
      </c>
    </row>
    <row r="99">
      <c r="A99" t="inlineStr">
        <is>
          <t>INV00004600</t>
        </is>
      </c>
      <c r="B99" t="inlineStr">
        <is>
          <t>contract_date_conflict</t>
        </is>
      </c>
      <c r="C99" t="inlineStr">
        <is>
          <t>medium</t>
        </is>
      </c>
      <c r="D99" s="14" t="n">
        <v>45017</v>
      </c>
      <c r="E99" t="inlineStr">
        <is>
          <t>C000342</t>
        </is>
      </c>
      <c r="F99" s="9" t="n">
        <v>1678.75</v>
      </c>
      <c r="G99" t="inlineStr">
        <is>
          <t>Invoice date falls outside the linked contract</t>
        </is>
      </c>
    </row>
    <row r="100">
      <c r="A100" t="inlineStr">
        <is>
          <t>INV00006313</t>
        </is>
      </c>
      <c r="B100" t="inlineStr">
        <is>
          <t>contract_date_conflict</t>
        </is>
      </c>
      <c r="C100" t="inlineStr">
        <is>
          <t>medium</t>
        </is>
      </c>
      <c r="D100" s="14" t="n">
        <v>45017</v>
      </c>
      <c r="E100" t="inlineStr">
        <is>
          <t>C000450</t>
        </is>
      </c>
      <c r="F100" s="9" t="n">
        <v>1185</v>
      </c>
      <c r="G100" t="inlineStr">
        <is>
          <t>Invoice date falls outside the linked contract</t>
        </is>
      </c>
    </row>
    <row r="101">
      <c r="A101" t="inlineStr">
        <is>
          <t>INV00006789</t>
        </is>
      </c>
      <c r="B101" t="inlineStr">
        <is>
          <t>contract_date_conflict</t>
        </is>
      </c>
      <c r="C101" t="inlineStr">
        <is>
          <t>medium</t>
        </is>
      </c>
      <c r="D101" s="14" t="n">
        <v>45017</v>
      </c>
      <c r="E101" t="inlineStr">
        <is>
          <t>C000482</t>
        </is>
      </c>
      <c r="F101" s="9" t="n">
        <v>195</v>
      </c>
      <c r="G101" t="inlineStr">
        <is>
          <t>Invoice date falls outside the linked contract</t>
        </is>
      </c>
    </row>
    <row r="102">
      <c r="A102" t="inlineStr">
        <is>
          <t>INV00007629</t>
        </is>
      </c>
      <c r="B102" t="inlineStr">
        <is>
          <t>contract_date_conflict</t>
        </is>
      </c>
      <c r="C102" t="inlineStr">
        <is>
          <t>medium</t>
        </is>
      </c>
      <c r="D102" s="14" t="n">
        <v>45017</v>
      </c>
      <c r="E102" t="inlineStr">
        <is>
          <t>C000536</t>
        </is>
      </c>
      <c r="F102" s="9" t="n">
        <v>429</v>
      </c>
      <c r="G102" t="inlineStr">
        <is>
          <t>Invoice date falls outside the linked contract</t>
        </is>
      </c>
    </row>
    <row r="103">
      <c r="A103" t="inlineStr">
        <is>
          <t>INV00007951</t>
        </is>
      </c>
      <c r="B103" t="inlineStr">
        <is>
          <t>contract_date_conflict</t>
        </is>
      </c>
      <c r="C103" t="inlineStr">
        <is>
          <t>medium</t>
        </is>
      </c>
      <c r="D103" s="14" t="n">
        <v>45017</v>
      </c>
      <c r="E103" t="inlineStr">
        <is>
          <t>C000565</t>
        </is>
      </c>
      <c r="F103" s="9" t="n">
        <v>185.25</v>
      </c>
      <c r="G103" t="inlineStr">
        <is>
          <t>Invoice date falls outside the linked contract</t>
        </is>
      </c>
    </row>
    <row r="104">
      <c r="A104" t="inlineStr">
        <is>
          <t>INV00008525</t>
        </is>
      </c>
      <c r="B104" t="inlineStr">
        <is>
          <t>contract_date_conflict</t>
        </is>
      </c>
      <c r="C104" t="inlineStr">
        <is>
          <t>medium</t>
        </is>
      </c>
      <c r="D104" s="14" t="n">
        <v>45017</v>
      </c>
      <c r="E104" t="inlineStr">
        <is>
          <t>C000601</t>
        </is>
      </c>
      <c r="F104" s="9" t="n">
        <v>1678.75</v>
      </c>
      <c r="G104" t="inlineStr">
        <is>
          <t>Invoice date falls outside the linked contract</t>
        </is>
      </c>
    </row>
    <row r="105">
      <c r="A105" t="inlineStr">
        <is>
          <t>INV00008906</t>
        </is>
      </c>
      <c r="B105" t="inlineStr">
        <is>
          <t>contract_date_conflict</t>
        </is>
      </c>
      <c r="C105" t="inlineStr">
        <is>
          <t>medium</t>
        </is>
      </c>
      <c r="D105" s="14" t="n">
        <v>45017</v>
      </c>
      <c r="E105" t="inlineStr">
        <is>
          <t>C000626</t>
        </is>
      </c>
      <c r="F105" s="9" t="n">
        <v>265.2</v>
      </c>
      <c r="G105" t="inlineStr">
        <is>
          <t>Invoice date falls outside the linked contract</t>
        </is>
      </c>
    </row>
    <row r="106">
      <c r="A106" t="inlineStr">
        <is>
          <t>INV00009401</t>
        </is>
      </c>
      <c r="B106" t="inlineStr">
        <is>
          <t>contract_date_conflict</t>
        </is>
      </c>
      <c r="C106" t="inlineStr">
        <is>
          <t>medium</t>
        </is>
      </c>
      <c r="D106" s="14" t="n">
        <v>45017</v>
      </c>
      <c r="E106" t="inlineStr">
        <is>
          <t>C000663</t>
        </is>
      </c>
      <c r="F106" s="9" t="n">
        <v>222.3</v>
      </c>
      <c r="G106" t="inlineStr">
        <is>
          <t>Invoice date falls outside the linked contract</t>
        </is>
      </c>
    </row>
    <row r="107">
      <c r="A107" t="inlineStr">
        <is>
          <t>INV00010212</t>
        </is>
      </c>
      <c r="B107" t="inlineStr">
        <is>
          <t>contract_date_conflict</t>
        </is>
      </c>
      <c r="C107" t="inlineStr">
        <is>
          <t>medium</t>
        </is>
      </c>
      <c r="D107" s="14" t="n">
        <v>45017</v>
      </c>
      <c r="E107" t="inlineStr">
        <is>
          <t>C000720</t>
        </is>
      </c>
      <c r="F107" s="9" t="n">
        <v>222.3</v>
      </c>
      <c r="G107" t="inlineStr">
        <is>
          <t>Invoice date falls outside the linked contract</t>
        </is>
      </c>
    </row>
    <row r="108">
      <c r="A108" t="inlineStr">
        <is>
          <t>INV00010931</t>
        </is>
      </c>
      <c r="B108" t="inlineStr">
        <is>
          <t>contract_date_conflict</t>
        </is>
      </c>
      <c r="C108" t="inlineStr">
        <is>
          <t>medium</t>
        </is>
      </c>
      <c r="D108" s="14" t="n">
        <v>45017</v>
      </c>
      <c r="E108" t="inlineStr">
        <is>
          <t>C000768</t>
        </is>
      </c>
      <c r="F108" s="9" t="n">
        <v>156</v>
      </c>
      <c r="G108" t="inlineStr">
        <is>
          <t>Invoice date falls outside the linked contract</t>
        </is>
      </c>
    </row>
    <row r="109">
      <c r="A109" t="inlineStr">
        <is>
          <t>INV00013840</t>
        </is>
      </c>
      <c r="B109" t="inlineStr">
        <is>
          <t>contract_date_conflict</t>
        </is>
      </c>
      <c r="C109" t="inlineStr">
        <is>
          <t>medium</t>
        </is>
      </c>
      <c r="D109" s="14" t="n">
        <v>45017</v>
      </c>
      <c r="E109" t="inlineStr">
        <is>
          <t>C000978</t>
        </is>
      </c>
      <c r="F109" s="9" t="n">
        <v>1659</v>
      </c>
      <c r="G109" t="inlineStr">
        <is>
          <t>Invoice date falls outside the linked contract</t>
        </is>
      </c>
    </row>
    <row r="110">
      <c r="A110" t="inlineStr">
        <is>
          <t>INV00014045</t>
        </is>
      </c>
      <c r="B110" t="inlineStr">
        <is>
          <t>contract_date_conflict</t>
        </is>
      </c>
      <c r="C110" t="inlineStr">
        <is>
          <t>medium</t>
        </is>
      </c>
      <c r="D110" s="14" t="n">
        <v>45017</v>
      </c>
      <c r="E110" t="inlineStr">
        <is>
          <t>C000990</t>
        </is>
      </c>
      <c r="F110" s="9" t="n">
        <v>210.6</v>
      </c>
      <c r="G110" t="inlineStr">
        <is>
          <t>Invoice date falls outside the linked contract</t>
        </is>
      </c>
    </row>
    <row r="111">
      <c r="A111" t="inlineStr">
        <is>
          <t>INV00014125</t>
        </is>
      </c>
      <c r="B111" t="inlineStr">
        <is>
          <t>contract_date_conflict</t>
        </is>
      </c>
      <c r="C111" t="inlineStr">
        <is>
          <t>medium</t>
        </is>
      </c>
      <c r="D111" s="14" t="n">
        <v>45017</v>
      </c>
      <c r="E111" t="inlineStr">
        <is>
          <t>C000995</t>
        </is>
      </c>
      <c r="F111" s="9" t="n">
        <v>1074.4</v>
      </c>
      <c r="G111" t="inlineStr">
        <is>
          <t>Invoice date falls outside the linked contract</t>
        </is>
      </c>
    </row>
    <row r="112">
      <c r="A112" t="inlineStr">
        <is>
          <t>INV00014526</t>
        </is>
      </c>
      <c r="B112" t="inlineStr">
        <is>
          <t>contract_date_conflict</t>
        </is>
      </c>
      <c r="C112" t="inlineStr">
        <is>
          <t>medium</t>
        </is>
      </c>
      <c r="D112" s="14" t="n">
        <v>45017</v>
      </c>
      <c r="E112" t="inlineStr">
        <is>
          <t>C001019</t>
        </is>
      </c>
      <c r="F112" s="9" t="n">
        <v>1185</v>
      </c>
      <c r="G112" t="inlineStr">
        <is>
          <t>Invoice date falls outside the linked contract</t>
        </is>
      </c>
    </row>
    <row r="113">
      <c r="A113" t="inlineStr">
        <is>
          <t>INV00014873</t>
        </is>
      </c>
      <c r="B113" t="inlineStr">
        <is>
          <t>contract_date_conflict</t>
        </is>
      </c>
      <c r="C113" t="inlineStr">
        <is>
          <t>medium</t>
        </is>
      </c>
      <c r="D113" s="14" t="n">
        <v>45017</v>
      </c>
      <c r="E113" t="inlineStr">
        <is>
          <t>C001041</t>
        </is>
      </c>
      <c r="F113" s="9" t="n">
        <v>234</v>
      </c>
      <c r="G113" t="inlineStr">
        <is>
          <t>Invoice date falls outside the linked contract</t>
        </is>
      </c>
    </row>
    <row r="114">
      <c r="A114" t="inlineStr">
        <is>
          <t>INV00015149</t>
        </is>
      </c>
      <c r="B114" t="inlineStr">
        <is>
          <t>contract_date_conflict</t>
        </is>
      </c>
      <c r="C114" t="inlineStr">
        <is>
          <t>medium</t>
        </is>
      </c>
      <c r="D114" s="14" t="n">
        <v>45017</v>
      </c>
      <c r="E114" t="inlineStr">
        <is>
          <t>C001059</t>
        </is>
      </c>
      <c r="F114" s="9" t="n">
        <v>1975</v>
      </c>
      <c r="G114" t="inlineStr">
        <is>
          <t>Invoice date falls outside the linked contract</t>
        </is>
      </c>
    </row>
    <row r="115">
      <c r="A115" t="inlineStr">
        <is>
          <t>INV00015382</t>
        </is>
      </c>
      <c r="B115" t="inlineStr">
        <is>
          <t>contract_date_conflict</t>
        </is>
      </c>
      <c r="C115" t="inlineStr">
        <is>
          <t>medium</t>
        </is>
      </c>
      <c r="D115" s="14" t="n">
        <v>45017</v>
      </c>
      <c r="E115" t="inlineStr">
        <is>
          <t>C001073</t>
        </is>
      </c>
      <c r="F115" s="9" t="n">
        <v>175.5</v>
      </c>
      <c r="G115" t="inlineStr">
        <is>
          <t>Invoice date falls outside the linked contract</t>
        </is>
      </c>
    </row>
    <row r="116">
      <c r="A116" t="inlineStr">
        <is>
          <t>INV00016489</t>
        </is>
      </c>
      <c r="B116" t="inlineStr">
        <is>
          <t>contract_date_conflict</t>
        </is>
      </c>
      <c r="C116" t="inlineStr">
        <is>
          <t>medium</t>
        </is>
      </c>
      <c r="D116" s="14" t="n">
        <v>45017</v>
      </c>
      <c r="E116" t="inlineStr">
        <is>
          <t>C001150</t>
        </is>
      </c>
      <c r="F116" s="9" t="n">
        <v>8716.5</v>
      </c>
      <c r="G116" t="inlineStr">
        <is>
          <t>Invoice date falls outside the linked contract</t>
        </is>
      </c>
    </row>
    <row r="117">
      <c r="A117" t="inlineStr">
        <is>
          <t>INV00001155</t>
        </is>
      </c>
      <c r="B117" t="inlineStr">
        <is>
          <t>contract_date_conflict</t>
        </is>
      </c>
      <c r="C117" t="inlineStr">
        <is>
          <t>medium</t>
        </is>
      </c>
      <c r="D117" s="14" t="n">
        <v>45047</v>
      </c>
      <c r="E117" t="inlineStr">
        <is>
          <t>C000075</t>
        </is>
      </c>
      <c r="F117" s="9" t="n">
        <v>2484.55</v>
      </c>
      <c r="G117" t="inlineStr">
        <is>
          <t>Invoice date falls outside the linked contract</t>
        </is>
      </c>
    </row>
    <row r="118">
      <c r="A118" t="inlineStr">
        <is>
          <t>INV00001382</t>
        </is>
      </c>
      <c r="B118" t="inlineStr">
        <is>
          <t>contract_date_conflict</t>
        </is>
      </c>
      <c r="C118" t="inlineStr">
        <is>
          <t>medium</t>
        </is>
      </c>
      <c r="D118" s="14" t="n">
        <v>45047</v>
      </c>
      <c r="E118" t="inlineStr">
        <is>
          <t>C000091</t>
        </is>
      </c>
      <c r="F118" s="9" t="n">
        <v>245.7</v>
      </c>
      <c r="G118" t="inlineStr">
        <is>
          <t>Invoice date falls outside the linked contract</t>
        </is>
      </c>
    </row>
    <row r="119">
      <c r="A119" t="inlineStr">
        <is>
          <t>INV00001643</t>
        </is>
      </c>
      <c r="B119" t="inlineStr">
        <is>
          <t>contract_date_conflict</t>
        </is>
      </c>
      <c r="C119" t="inlineStr">
        <is>
          <t>medium</t>
        </is>
      </c>
      <c r="D119" s="14" t="n">
        <v>45047</v>
      </c>
      <c r="E119" t="inlineStr">
        <is>
          <t>C000111</t>
        </is>
      </c>
      <c r="F119" s="9" t="n">
        <v>1200.8</v>
      </c>
      <c r="G119" t="inlineStr">
        <is>
          <t>Invoice date falls outside the linked contract</t>
        </is>
      </c>
    </row>
    <row r="120">
      <c r="A120" t="inlineStr">
        <is>
          <t>INV00002699</t>
        </is>
      </c>
      <c r="B120" t="inlineStr">
        <is>
          <t>contract_date_conflict</t>
        </is>
      </c>
      <c r="C120" t="inlineStr">
        <is>
          <t>medium</t>
        </is>
      </c>
      <c r="D120" s="14" t="n">
        <v>45047</v>
      </c>
      <c r="E120" t="inlineStr">
        <is>
          <t>C000193</t>
        </is>
      </c>
      <c r="F120" s="9" t="n">
        <v>312</v>
      </c>
      <c r="G120" t="inlineStr">
        <is>
          <t>Invoice date falls outside the linked contract</t>
        </is>
      </c>
    </row>
    <row r="121">
      <c r="A121" t="inlineStr">
        <is>
          <t>INV00003565</t>
        </is>
      </c>
      <c r="B121" t="inlineStr">
        <is>
          <t>contract_date_conflict</t>
        </is>
      </c>
      <c r="C121" t="inlineStr">
        <is>
          <t>medium</t>
        </is>
      </c>
      <c r="D121" s="14" t="n">
        <v>45047</v>
      </c>
      <c r="E121" t="inlineStr">
        <is>
          <t>C000262</t>
        </is>
      </c>
      <c r="F121" s="9" t="n">
        <v>1185</v>
      </c>
      <c r="G121" t="inlineStr">
        <is>
          <t>Invoice date falls outside the linked contract</t>
        </is>
      </c>
    </row>
    <row r="122">
      <c r="A122" t="inlineStr">
        <is>
          <t>INV00004132</t>
        </is>
      </c>
      <c r="B122" t="inlineStr">
        <is>
          <t>contract_date_conflict</t>
        </is>
      </c>
      <c r="C122" t="inlineStr">
        <is>
          <t>medium</t>
        </is>
      </c>
      <c r="D122" s="14" t="n">
        <v>45047</v>
      </c>
      <c r="E122" t="inlineStr">
        <is>
          <t>C000307</t>
        </is>
      </c>
      <c r="F122" s="9" t="n">
        <v>195</v>
      </c>
      <c r="G122" t="inlineStr">
        <is>
          <t>Invoice date falls outside the linked contract</t>
        </is>
      </c>
    </row>
    <row r="123">
      <c r="A123" t="inlineStr">
        <is>
          <t>INV00004195</t>
        </is>
      </c>
      <c r="B123" t="inlineStr">
        <is>
          <t>contract_date_conflict</t>
        </is>
      </c>
      <c r="C123" t="inlineStr">
        <is>
          <t>medium</t>
        </is>
      </c>
      <c r="D123" s="14" t="n">
        <v>45047</v>
      </c>
      <c r="E123" t="inlineStr">
        <is>
          <t>C000314</t>
        </is>
      </c>
      <c r="F123" s="9" t="n">
        <v>1422</v>
      </c>
      <c r="G123" t="inlineStr">
        <is>
          <t>Invoice date falls outside the linked contract</t>
        </is>
      </c>
    </row>
    <row r="124">
      <c r="A124" t="inlineStr">
        <is>
          <t>INV00005632</t>
        </is>
      </c>
      <c r="B124" t="inlineStr">
        <is>
          <t>contract_date_conflict</t>
        </is>
      </c>
      <c r="C124" t="inlineStr">
        <is>
          <t>medium</t>
        </is>
      </c>
      <c r="D124" s="14" t="n">
        <v>45047</v>
      </c>
      <c r="E124" t="inlineStr">
        <is>
          <t>C000403</t>
        </is>
      </c>
      <c r="F124" s="9" t="n">
        <v>1643.2</v>
      </c>
      <c r="G124" t="inlineStr">
        <is>
          <t>Invoice date falls outside the linked contract</t>
        </is>
      </c>
    </row>
    <row r="125">
      <c r="A125" t="inlineStr">
        <is>
          <t>INV00006890</t>
        </is>
      </c>
      <c r="B125" t="inlineStr">
        <is>
          <t>contract_date_conflict</t>
        </is>
      </c>
      <c r="C125" t="inlineStr">
        <is>
          <t>medium</t>
        </is>
      </c>
      <c r="D125" s="14" t="n">
        <v>45047</v>
      </c>
      <c r="E125" t="inlineStr">
        <is>
          <t>C000488</t>
        </is>
      </c>
      <c r="F125" s="9" t="n">
        <v>351</v>
      </c>
      <c r="G125" t="inlineStr">
        <is>
          <t>Invoice date falls outside the linked contract</t>
        </is>
      </c>
    </row>
    <row r="126">
      <c r="A126" t="inlineStr">
        <is>
          <t>INV00007520</t>
        </is>
      </c>
      <c r="B126" t="inlineStr">
        <is>
          <t>contract_date_conflict</t>
        </is>
      </c>
      <c r="C126" t="inlineStr">
        <is>
          <t>medium</t>
        </is>
      </c>
      <c r="D126" s="14" t="n">
        <v>45047</v>
      </c>
      <c r="E126" t="inlineStr">
        <is>
          <t>C000528</t>
        </is>
      </c>
      <c r="F126" s="9" t="n">
        <v>1185</v>
      </c>
      <c r="G126" t="inlineStr">
        <is>
          <t>Invoice date falls outside the linked contract</t>
        </is>
      </c>
    </row>
    <row r="127">
      <c r="A127" t="inlineStr">
        <is>
          <t>INV00009152</t>
        </is>
      </c>
      <c r="B127" t="inlineStr">
        <is>
          <t>contract_date_conflict</t>
        </is>
      </c>
      <c r="C127" t="inlineStr">
        <is>
          <t>medium</t>
        </is>
      </c>
      <c r="D127" s="14" t="n">
        <v>45047</v>
      </c>
      <c r="E127" t="inlineStr">
        <is>
          <t>C000640</t>
        </is>
      </c>
      <c r="F127" s="9" t="n">
        <v>1975</v>
      </c>
      <c r="G127" t="inlineStr">
        <is>
          <t>Invoice date falls outside the linked contract</t>
        </is>
      </c>
    </row>
    <row r="128">
      <c r="A128" t="inlineStr">
        <is>
          <t>INV00009990</t>
        </is>
      </c>
      <c r="B128" t="inlineStr">
        <is>
          <t>contract_date_conflict</t>
        </is>
      </c>
      <c r="C128" t="inlineStr">
        <is>
          <t>medium</t>
        </is>
      </c>
      <c r="D128" s="14" t="n">
        <v>45047</v>
      </c>
      <c r="E128" t="inlineStr">
        <is>
          <t>C000705</t>
        </is>
      </c>
      <c r="F128" s="9" t="n">
        <v>312</v>
      </c>
      <c r="G128" t="inlineStr">
        <is>
          <t>Invoice date falls outside the linked contract</t>
        </is>
      </c>
    </row>
    <row r="129">
      <c r="A129" t="inlineStr">
        <is>
          <t>INV00011166</t>
        </is>
      </c>
      <c r="B129" t="inlineStr">
        <is>
          <t>contract_date_conflict</t>
        </is>
      </c>
      <c r="C129" t="inlineStr">
        <is>
          <t>medium</t>
        </is>
      </c>
      <c r="D129" s="14" t="n">
        <v>45047</v>
      </c>
      <c r="E129" t="inlineStr">
        <is>
          <t>C000785</t>
        </is>
      </c>
      <c r="F129" s="9" t="n">
        <v>234</v>
      </c>
      <c r="G129" t="inlineStr">
        <is>
          <t>Invoice date falls outside the linked contract</t>
        </is>
      </c>
    </row>
    <row r="130">
      <c r="A130" t="inlineStr">
        <is>
          <t>INV00011728</t>
        </is>
      </c>
      <c r="B130" t="inlineStr">
        <is>
          <t>contract_date_conflict</t>
        </is>
      </c>
      <c r="C130" t="inlineStr">
        <is>
          <t>medium</t>
        </is>
      </c>
      <c r="D130" s="14" t="n">
        <v>45047</v>
      </c>
      <c r="E130" t="inlineStr">
        <is>
          <t>C000825</t>
        </is>
      </c>
      <c r="F130" s="9" t="n">
        <v>9245.450000000001</v>
      </c>
      <c r="G130" t="inlineStr">
        <is>
          <t>Invoice date falls outside the linked contract</t>
        </is>
      </c>
    </row>
    <row r="131">
      <c r="A131" t="inlineStr">
        <is>
          <t>INV00012006</t>
        </is>
      </c>
      <c r="B131" t="inlineStr">
        <is>
          <t>contract_date_conflict</t>
        </is>
      </c>
      <c r="C131" t="inlineStr">
        <is>
          <t>medium</t>
        </is>
      </c>
      <c r="D131" s="14" t="n">
        <v>45047</v>
      </c>
      <c r="E131" t="inlineStr">
        <is>
          <t>C000842</t>
        </is>
      </c>
      <c r="F131" s="9" t="n">
        <v>1959.2</v>
      </c>
      <c r="G131" t="inlineStr">
        <is>
          <t>Invoice date falls outside the linked contract</t>
        </is>
      </c>
    </row>
    <row r="132">
      <c r="A132" t="inlineStr">
        <is>
          <t>INV00012204</t>
        </is>
      </c>
      <c r="B132" t="inlineStr">
        <is>
          <t>contract_date_conflict</t>
        </is>
      </c>
      <c r="C132" t="inlineStr">
        <is>
          <t>medium</t>
        </is>
      </c>
      <c r="D132" s="14" t="n">
        <v>45047</v>
      </c>
      <c r="E132" t="inlineStr">
        <is>
          <t>C000858</t>
        </is>
      </c>
      <c r="F132" s="9" t="n">
        <v>13708</v>
      </c>
      <c r="G132" t="inlineStr">
        <is>
          <t>Invoice date falls outside the linked contract</t>
        </is>
      </c>
    </row>
    <row r="133">
      <c r="A133" t="inlineStr">
        <is>
          <t>INV00012797</t>
        </is>
      </c>
      <c r="B133" t="inlineStr">
        <is>
          <t>contract_date_conflict</t>
        </is>
      </c>
      <c r="C133" t="inlineStr">
        <is>
          <t>medium</t>
        </is>
      </c>
      <c r="D133" s="14" t="n">
        <v>45047</v>
      </c>
      <c r="E133" t="inlineStr">
        <is>
          <t>C000903</t>
        </is>
      </c>
      <c r="F133" s="9" t="n">
        <v>249.6</v>
      </c>
      <c r="G133" t="inlineStr">
        <is>
          <t>Invoice date falls outside the linked contract</t>
        </is>
      </c>
    </row>
    <row r="134">
      <c r="A134" t="inlineStr">
        <is>
          <t>INV00013444</t>
        </is>
      </c>
      <c r="B134" t="inlineStr">
        <is>
          <t>contract_date_conflict</t>
        </is>
      </c>
      <c r="C134" t="inlineStr">
        <is>
          <t>medium</t>
        </is>
      </c>
      <c r="D134" s="14" t="n">
        <v>45047</v>
      </c>
      <c r="E134" t="inlineStr">
        <is>
          <t>C000950</t>
        </is>
      </c>
      <c r="F134" s="9" t="n">
        <v>1185</v>
      </c>
      <c r="G134" t="inlineStr">
        <is>
          <t>Invoice date falls outside the linked contract</t>
        </is>
      </c>
    </row>
    <row r="135">
      <c r="A135" t="inlineStr">
        <is>
          <t>INV00014207</t>
        </is>
      </c>
      <c r="B135" t="inlineStr">
        <is>
          <t>contract_date_conflict</t>
        </is>
      </c>
      <c r="C135" t="inlineStr">
        <is>
          <t>medium</t>
        </is>
      </c>
      <c r="D135" s="14" t="n">
        <v>45047</v>
      </c>
      <c r="E135" t="inlineStr">
        <is>
          <t>C000998</t>
        </is>
      </c>
      <c r="F135" s="9" t="n">
        <v>9766.950000000001</v>
      </c>
      <c r="G135" t="inlineStr">
        <is>
          <t>Invoice date falls outside the linked contract</t>
        </is>
      </c>
    </row>
    <row r="136">
      <c r="A136" t="inlineStr">
        <is>
          <t>INV00014263</t>
        </is>
      </c>
      <c r="B136" t="inlineStr">
        <is>
          <t>contract_date_conflict</t>
        </is>
      </c>
      <c r="C136" t="inlineStr">
        <is>
          <t>medium</t>
        </is>
      </c>
      <c r="D136" s="14" t="n">
        <v>45047</v>
      </c>
      <c r="E136" t="inlineStr">
        <is>
          <t>C001003</t>
        </is>
      </c>
      <c r="F136" s="9" t="n">
        <v>15794</v>
      </c>
      <c r="G136" t="inlineStr">
        <is>
          <t>Invoice date falls outside the linked contract</t>
        </is>
      </c>
    </row>
    <row r="137">
      <c r="A137" t="inlineStr">
        <is>
          <t>INV00014587</t>
        </is>
      </c>
      <c r="B137" t="inlineStr">
        <is>
          <t>contract_date_conflict</t>
        </is>
      </c>
      <c r="C137" t="inlineStr">
        <is>
          <t>medium</t>
        </is>
      </c>
      <c r="D137" s="14" t="n">
        <v>45047</v>
      </c>
      <c r="E137" t="inlineStr">
        <is>
          <t>C001021</t>
        </is>
      </c>
      <c r="F137" s="9" t="n">
        <v>507</v>
      </c>
      <c r="G137" t="inlineStr">
        <is>
          <t>Invoice date falls outside the linked contract</t>
        </is>
      </c>
    </row>
    <row r="138">
      <c r="A138" t="inlineStr">
        <is>
          <t>INV00014957</t>
        </is>
      </c>
      <c r="B138" t="inlineStr">
        <is>
          <t>contract_date_conflict</t>
        </is>
      </c>
      <c r="C138" t="inlineStr">
        <is>
          <t>medium</t>
        </is>
      </c>
      <c r="D138" s="14" t="n">
        <v>45047</v>
      </c>
      <c r="E138" t="inlineStr">
        <is>
          <t>C001044</t>
        </is>
      </c>
      <c r="F138" s="9" t="n">
        <v>333.45</v>
      </c>
      <c r="G138" t="inlineStr">
        <is>
          <t>Invoice date falls outside the linked contract</t>
        </is>
      </c>
    </row>
    <row r="139">
      <c r="A139" t="inlineStr">
        <is>
          <t>INV00014989</t>
        </is>
      </c>
      <c r="B139" t="inlineStr">
        <is>
          <t>contract_date_conflict</t>
        </is>
      </c>
      <c r="C139" t="inlineStr">
        <is>
          <t>medium</t>
        </is>
      </c>
      <c r="D139" s="14" t="n">
        <v>45047</v>
      </c>
      <c r="E139" t="inlineStr">
        <is>
          <t>C001047</t>
        </is>
      </c>
      <c r="F139" s="9" t="n">
        <v>2844</v>
      </c>
      <c r="G139" t="inlineStr">
        <is>
          <t>Invoice date falls outside the linked contract</t>
        </is>
      </c>
    </row>
    <row r="140">
      <c r="A140" t="inlineStr">
        <is>
          <t>INV00015491</t>
        </is>
      </c>
      <c r="B140" t="inlineStr">
        <is>
          <t>contract_date_conflict</t>
        </is>
      </c>
      <c r="C140" t="inlineStr">
        <is>
          <t>medium</t>
        </is>
      </c>
      <c r="D140" s="14" t="n">
        <v>45047</v>
      </c>
      <c r="E140" t="inlineStr">
        <is>
          <t>C001078</t>
        </is>
      </c>
      <c r="F140" s="9" t="n">
        <v>273</v>
      </c>
      <c r="G140" t="inlineStr">
        <is>
          <t>Invoice date falls outside the linked contract</t>
        </is>
      </c>
    </row>
    <row r="141">
      <c r="A141" t="inlineStr">
        <is>
          <t>INV00016045</t>
        </is>
      </c>
      <c r="B141" t="inlineStr">
        <is>
          <t>contract_date_conflict</t>
        </is>
      </c>
      <c r="C141" t="inlineStr">
        <is>
          <t>medium</t>
        </is>
      </c>
      <c r="D141" s="14" t="n">
        <v>45047</v>
      </c>
      <c r="E141" t="inlineStr">
        <is>
          <t>C001119</t>
        </is>
      </c>
      <c r="F141" s="9" t="n">
        <v>1425.95</v>
      </c>
      <c r="G141" t="inlineStr">
        <is>
          <t>Invoice date falls outside the linked contract</t>
        </is>
      </c>
    </row>
    <row r="142">
      <c r="A142" t="inlineStr">
        <is>
          <t>INV00016405</t>
        </is>
      </c>
      <c r="B142" t="inlineStr">
        <is>
          <t>contract_date_conflict</t>
        </is>
      </c>
      <c r="C142" t="inlineStr">
        <is>
          <t>medium</t>
        </is>
      </c>
      <c r="D142" s="14" t="n">
        <v>45047</v>
      </c>
      <c r="E142" t="inlineStr">
        <is>
          <t>C001143</t>
        </is>
      </c>
      <c r="F142" s="9" t="n">
        <v>210.6</v>
      </c>
      <c r="G142" t="inlineStr">
        <is>
          <t>Invoice date falls outside the linked contract</t>
        </is>
      </c>
    </row>
    <row r="143">
      <c r="A143" t="inlineStr">
        <is>
          <t>INV00016653</t>
        </is>
      </c>
      <c r="B143" t="inlineStr">
        <is>
          <t>contract_date_conflict</t>
        </is>
      </c>
      <c r="C143" t="inlineStr">
        <is>
          <t>medium</t>
        </is>
      </c>
      <c r="D143" s="14" t="n">
        <v>45047</v>
      </c>
      <c r="E143" t="inlineStr">
        <is>
          <t>C001159</t>
        </is>
      </c>
      <c r="F143" s="9" t="n">
        <v>1007.25</v>
      </c>
      <c r="G143" t="inlineStr">
        <is>
          <t>Invoice date falls outside the linked contract</t>
        </is>
      </c>
    </row>
    <row r="144">
      <c r="A144" t="inlineStr">
        <is>
          <t>INV00000810</t>
        </is>
      </c>
      <c r="B144" t="inlineStr">
        <is>
          <t>contract_date_conflict</t>
        </is>
      </c>
      <c r="C144" t="inlineStr">
        <is>
          <t>medium</t>
        </is>
      </c>
      <c r="D144" s="14" t="n">
        <v>45078</v>
      </c>
      <c r="E144" t="inlineStr">
        <is>
          <t>C000050</t>
        </is>
      </c>
      <c r="F144" s="9" t="n">
        <v>1208.7</v>
      </c>
      <c r="G144" t="inlineStr">
        <is>
          <t>Invoice date falls outside the linked contract</t>
        </is>
      </c>
    </row>
    <row r="145">
      <c r="A145" t="inlineStr">
        <is>
          <t>INV00001583</t>
        </is>
      </c>
      <c r="B145" t="inlineStr">
        <is>
          <t>contract_date_conflict</t>
        </is>
      </c>
      <c r="C145" t="inlineStr">
        <is>
          <t>medium</t>
        </is>
      </c>
      <c r="D145" s="14" t="n">
        <v>45078</v>
      </c>
      <c r="E145" t="inlineStr">
        <is>
          <t>C000107</t>
        </is>
      </c>
      <c r="F145" s="9" t="n">
        <v>1125.75</v>
      </c>
      <c r="G145" t="inlineStr">
        <is>
          <t>Invoice date falls outside the linked contract</t>
        </is>
      </c>
    </row>
    <row r="146">
      <c r="A146" t="inlineStr">
        <is>
          <t>INV00002726</t>
        </is>
      </c>
      <c r="B146" t="inlineStr">
        <is>
          <t>contract_date_conflict</t>
        </is>
      </c>
      <c r="C146" t="inlineStr">
        <is>
          <t>medium</t>
        </is>
      </c>
      <c r="D146" s="14" t="n">
        <v>45078</v>
      </c>
      <c r="E146" t="inlineStr">
        <is>
          <t>C000196</t>
        </is>
      </c>
      <c r="F146" s="9" t="n">
        <v>7450</v>
      </c>
      <c r="G146" t="inlineStr">
        <is>
          <t>Invoice date falls outside the linked contract</t>
        </is>
      </c>
    </row>
    <row r="147">
      <c r="A147" t="inlineStr">
        <is>
          <t>INV00003198</t>
        </is>
      </c>
      <c r="B147" t="inlineStr">
        <is>
          <t>contract_date_conflict</t>
        </is>
      </c>
      <c r="C147" t="inlineStr">
        <is>
          <t>medium</t>
        </is>
      </c>
      <c r="D147" s="14" t="n">
        <v>45078</v>
      </c>
      <c r="E147" t="inlineStr">
        <is>
          <t>C000234</t>
        </is>
      </c>
      <c r="F147" s="9" t="n">
        <v>259.35</v>
      </c>
      <c r="G147" t="inlineStr">
        <is>
          <t>Invoice date falls outside the linked contract</t>
        </is>
      </c>
    </row>
    <row r="148">
      <c r="A148" t="inlineStr">
        <is>
          <t>INV00003358</t>
        </is>
      </c>
      <c r="B148" t="inlineStr">
        <is>
          <t>contract_date_conflict</t>
        </is>
      </c>
      <c r="C148" t="inlineStr">
        <is>
          <t>medium</t>
        </is>
      </c>
      <c r="D148" s="14" t="n">
        <v>45078</v>
      </c>
      <c r="E148" t="inlineStr">
        <is>
          <t>C000244</t>
        </is>
      </c>
      <c r="F148" s="9" t="n">
        <v>1264</v>
      </c>
      <c r="G148" t="inlineStr">
        <is>
          <t>Invoice date falls outside the linked contract</t>
        </is>
      </c>
    </row>
    <row r="149">
      <c r="A149" t="inlineStr">
        <is>
          <t>INV00003918</t>
        </is>
      </c>
      <c r="B149" t="inlineStr">
        <is>
          <t>contract_date_conflict</t>
        </is>
      </c>
      <c r="C149" t="inlineStr">
        <is>
          <t>medium</t>
        </is>
      </c>
      <c r="D149" s="14" t="n">
        <v>45078</v>
      </c>
      <c r="E149" t="inlineStr">
        <is>
          <t>C000291</t>
        </is>
      </c>
      <c r="F149" s="9" t="n">
        <v>195</v>
      </c>
      <c r="G149" t="inlineStr">
        <is>
          <t>Invoice date falls outside the linked contract</t>
        </is>
      </c>
    </row>
    <row r="150">
      <c r="A150" t="inlineStr">
        <is>
          <t>INV00004536</t>
        </is>
      </c>
      <c r="B150" t="inlineStr">
        <is>
          <t>contract_date_conflict</t>
        </is>
      </c>
      <c r="C150" t="inlineStr">
        <is>
          <t>medium</t>
        </is>
      </c>
      <c r="D150" s="14" t="n">
        <v>45078</v>
      </c>
      <c r="E150" t="inlineStr">
        <is>
          <t>C000339</t>
        </is>
      </c>
      <c r="F150" s="9" t="n">
        <v>1185</v>
      </c>
      <c r="G150" t="inlineStr">
        <is>
          <t>Invoice date falls outside the linked contract</t>
        </is>
      </c>
    </row>
    <row r="151">
      <c r="A151" t="inlineStr">
        <is>
          <t>INV00008151</t>
        </is>
      </c>
      <c r="B151" t="inlineStr">
        <is>
          <t>contract_date_conflict</t>
        </is>
      </c>
      <c r="C151" t="inlineStr">
        <is>
          <t>medium</t>
        </is>
      </c>
      <c r="D151" s="14" t="n">
        <v>45078</v>
      </c>
      <c r="E151" t="inlineStr">
        <is>
          <t>C000577</t>
        </is>
      </c>
      <c r="F151" s="9" t="n">
        <v>1659</v>
      </c>
      <c r="G151" t="inlineStr">
        <is>
          <t>Invoice date falls outside the linked contract</t>
        </is>
      </c>
    </row>
    <row r="152">
      <c r="A152" t="inlineStr">
        <is>
          <t>INV00008307</t>
        </is>
      </c>
      <c r="B152" t="inlineStr">
        <is>
          <t>contract_date_conflict</t>
        </is>
      </c>
      <c r="C152" t="inlineStr">
        <is>
          <t>medium</t>
        </is>
      </c>
      <c r="D152" s="14" t="n">
        <v>45078</v>
      </c>
      <c r="E152" t="inlineStr">
        <is>
          <t>C000586</t>
        </is>
      </c>
      <c r="F152" s="9" t="n">
        <v>1659</v>
      </c>
      <c r="G152" t="inlineStr">
        <is>
          <t>Invoice date falls outside the linked contract</t>
        </is>
      </c>
    </row>
    <row r="153">
      <c r="A153" t="inlineStr">
        <is>
          <t>INV00009534</t>
        </is>
      </c>
      <c r="B153" t="inlineStr">
        <is>
          <t>contract_date_conflict</t>
        </is>
      </c>
      <c r="C153" t="inlineStr">
        <is>
          <t>medium</t>
        </is>
      </c>
      <c r="D153" s="14" t="n">
        <v>45078</v>
      </c>
      <c r="E153" t="inlineStr">
        <is>
          <t>C000671</t>
        </is>
      </c>
      <c r="F153" s="9" t="n">
        <v>1125.75</v>
      </c>
      <c r="G153" t="inlineStr">
        <is>
          <t>Invoice date falls outside the linked contract</t>
        </is>
      </c>
    </row>
    <row r="154">
      <c r="A154" t="inlineStr">
        <is>
          <t>INV00009964</t>
        </is>
      </c>
      <c r="B154" t="inlineStr">
        <is>
          <t>contract_date_conflict</t>
        </is>
      </c>
      <c r="C154" t="inlineStr">
        <is>
          <t>medium</t>
        </is>
      </c>
      <c r="D154" s="14" t="n">
        <v>45078</v>
      </c>
      <c r="E154" t="inlineStr">
        <is>
          <t>C000704</t>
        </is>
      </c>
      <c r="F154" s="9" t="n">
        <v>198.9</v>
      </c>
      <c r="G154" t="inlineStr">
        <is>
          <t>Invoice date falls outside the linked contract</t>
        </is>
      </c>
    </row>
    <row r="155">
      <c r="A155" t="inlineStr">
        <is>
          <t>INV00012389</t>
        </is>
      </c>
      <c r="B155" t="inlineStr">
        <is>
          <t>contract_date_conflict</t>
        </is>
      </c>
      <c r="C155" t="inlineStr">
        <is>
          <t>medium</t>
        </is>
      </c>
      <c r="D155" s="14" t="n">
        <v>45078</v>
      </c>
      <c r="E155" t="inlineStr">
        <is>
          <t>C000875</t>
        </is>
      </c>
      <c r="F155" s="9" t="n">
        <v>232.05</v>
      </c>
      <c r="G155" t="inlineStr">
        <is>
          <t>Invoice date falls outside the linked contract</t>
        </is>
      </c>
    </row>
    <row r="156">
      <c r="A156" t="inlineStr">
        <is>
          <t>INV00013370</t>
        </is>
      </c>
      <c r="B156" t="inlineStr">
        <is>
          <t>contract_date_conflict</t>
        </is>
      </c>
      <c r="C156" t="inlineStr">
        <is>
          <t>medium</t>
        </is>
      </c>
      <c r="D156" s="14" t="n">
        <v>45078</v>
      </c>
      <c r="E156" t="inlineStr">
        <is>
          <t>C000942</t>
        </is>
      </c>
      <c r="F156" s="9" t="n">
        <v>245.7</v>
      </c>
      <c r="G156" t="inlineStr">
        <is>
          <t>Invoice date falls outside the linked contract</t>
        </is>
      </c>
    </row>
    <row r="157">
      <c r="A157" t="inlineStr">
        <is>
          <t>INV00013387</t>
        </is>
      </c>
      <c r="B157" t="inlineStr">
        <is>
          <t>contract_date_conflict</t>
        </is>
      </c>
      <c r="C157" t="inlineStr">
        <is>
          <t>medium</t>
        </is>
      </c>
      <c r="D157" s="14" t="n">
        <v>45078</v>
      </c>
      <c r="E157" t="inlineStr">
        <is>
          <t>C000947</t>
        </is>
      </c>
      <c r="F157" s="9" t="n">
        <v>195</v>
      </c>
      <c r="G157" t="inlineStr">
        <is>
          <t>Invoice date falls outside the linked contract</t>
        </is>
      </c>
    </row>
    <row r="158">
      <c r="A158" t="inlineStr">
        <is>
          <t>INV00014370</t>
        </is>
      </c>
      <c r="B158" t="inlineStr">
        <is>
          <t>contract_date_conflict</t>
        </is>
      </c>
      <c r="C158" t="inlineStr">
        <is>
          <t>medium</t>
        </is>
      </c>
      <c r="D158" s="14" t="n">
        <v>45078</v>
      </c>
      <c r="E158" t="inlineStr">
        <is>
          <t>C001008</t>
        </is>
      </c>
      <c r="F158" s="9" t="n">
        <v>273</v>
      </c>
      <c r="G158" t="inlineStr">
        <is>
          <t>Invoice date falls outside the linked contract</t>
        </is>
      </c>
    </row>
    <row r="159">
      <c r="A159" t="inlineStr">
        <is>
          <t>INV00014470</t>
        </is>
      </c>
      <c r="B159" t="inlineStr">
        <is>
          <t>contract_date_conflict</t>
        </is>
      </c>
      <c r="C159" t="inlineStr">
        <is>
          <t>medium</t>
        </is>
      </c>
      <c r="D159" s="14" t="n">
        <v>45078</v>
      </c>
      <c r="E159" t="inlineStr">
        <is>
          <t>C001014</t>
        </is>
      </c>
      <c r="F159" s="9" t="n">
        <v>280.8</v>
      </c>
      <c r="G159" t="inlineStr">
        <is>
          <t>Invoice date falls outside the linked contract</t>
        </is>
      </c>
    </row>
    <row r="160">
      <c r="A160" t="inlineStr">
        <is>
          <t>INV00014690</t>
        </is>
      </c>
      <c r="B160" t="inlineStr">
        <is>
          <t>contract_date_conflict</t>
        </is>
      </c>
      <c r="C160" t="inlineStr">
        <is>
          <t>medium</t>
        </is>
      </c>
      <c r="D160" s="14" t="n">
        <v>45078</v>
      </c>
      <c r="E160" t="inlineStr">
        <is>
          <t>C001027</t>
        </is>
      </c>
      <c r="F160" s="9" t="n">
        <v>7450</v>
      </c>
      <c r="G160" t="inlineStr">
        <is>
          <t>Invoice date falls outside the linked contract</t>
        </is>
      </c>
    </row>
    <row r="161">
      <c r="A161" t="inlineStr">
        <is>
          <t>INV00017067</t>
        </is>
      </c>
      <c r="B161" t="inlineStr">
        <is>
          <t>contract_date_conflict</t>
        </is>
      </c>
      <c r="C161" t="inlineStr">
        <is>
          <t>medium</t>
        </is>
      </c>
      <c r="D161" s="14" t="n">
        <v>45078</v>
      </c>
      <c r="E161" t="inlineStr">
        <is>
          <t>C001185</t>
        </is>
      </c>
      <c r="F161" s="9" t="n">
        <v>195</v>
      </c>
      <c r="G161" t="inlineStr">
        <is>
          <t>Invoice date falls outside the linked contract</t>
        </is>
      </c>
    </row>
    <row r="162">
      <c r="A162" t="inlineStr">
        <is>
          <t>INV00017282</t>
        </is>
      </c>
      <c r="B162" t="inlineStr">
        <is>
          <t>contract_date_conflict</t>
        </is>
      </c>
      <c r="C162" t="inlineStr">
        <is>
          <t>medium</t>
        </is>
      </c>
      <c r="D162" s="14" t="n">
        <v>45078</v>
      </c>
      <c r="E162" t="inlineStr">
        <is>
          <t>C001197</t>
        </is>
      </c>
      <c r="F162" s="9" t="n">
        <v>1007.25</v>
      </c>
      <c r="G162" t="inlineStr">
        <is>
          <t>Invoice date falls outside the linked contract</t>
        </is>
      </c>
    </row>
    <row r="163">
      <c r="A163" t="inlineStr">
        <is>
          <t>INV00000632</t>
        </is>
      </c>
      <c r="B163" t="inlineStr">
        <is>
          <t>contract_date_conflict</t>
        </is>
      </c>
      <c r="C163" t="inlineStr">
        <is>
          <t>medium</t>
        </is>
      </c>
      <c r="D163" s="14" t="n">
        <v>45108</v>
      </c>
      <c r="E163" t="inlineStr">
        <is>
          <t>C000043</t>
        </is>
      </c>
      <c r="F163" s="9" t="n">
        <v>195</v>
      </c>
      <c r="G163" t="inlineStr">
        <is>
          <t>Invoice date falls outside the linked contract</t>
        </is>
      </c>
    </row>
    <row r="164">
      <c r="A164" t="inlineStr">
        <is>
          <t>INV00000662</t>
        </is>
      </c>
      <c r="B164" t="inlineStr">
        <is>
          <t>contract_date_conflict</t>
        </is>
      </c>
      <c r="C164" t="inlineStr">
        <is>
          <t>medium</t>
        </is>
      </c>
      <c r="D164" s="14" t="n">
        <v>45108</v>
      </c>
      <c r="E164" t="inlineStr">
        <is>
          <t>C000044</t>
        </is>
      </c>
      <c r="F164" s="9" t="n">
        <v>234</v>
      </c>
      <c r="G164" t="inlineStr">
        <is>
          <t>Invoice date falls outside the linked contract</t>
        </is>
      </c>
    </row>
    <row r="165">
      <c r="A165" t="inlineStr">
        <is>
          <t>INV00000975</t>
        </is>
      </c>
      <c r="B165" t="inlineStr">
        <is>
          <t>contract_date_conflict</t>
        </is>
      </c>
      <c r="C165" t="inlineStr">
        <is>
          <t>medium</t>
        </is>
      </c>
      <c r="D165" s="14" t="n">
        <v>45108</v>
      </c>
      <c r="E165" t="inlineStr">
        <is>
          <t>C000064</t>
        </is>
      </c>
      <c r="F165" s="9" t="n">
        <v>296.4</v>
      </c>
      <c r="G165" t="inlineStr">
        <is>
          <t>Invoice date falls outside the linked contract</t>
        </is>
      </c>
    </row>
    <row r="166">
      <c r="A166" t="inlineStr">
        <is>
          <t>INV00001321</t>
        </is>
      </c>
      <c r="B166" t="inlineStr">
        <is>
          <t>contract_date_conflict</t>
        </is>
      </c>
      <c r="C166" t="inlineStr">
        <is>
          <t>medium</t>
        </is>
      </c>
      <c r="D166" s="14" t="n">
        <v>45108</v>
      </c>
      <c r="E166" t="inlineStr">
        <is>
          <t>C000087</t>
        </is>
      </c>
      <c r="F166" s="9" t="n">
        <v>8940</v>
      </c>
      <c r="G166" t="inlineStr">
        <is>
          <t>Invoice date falls outside the linked contract</t>
        </is>
      </c>
    </row>
    <row r="167">
      <c r="A167" t="inlineStr">
        <is>
          <t>INV00001508</t>
        </is>
      </c>
      <c r="B167" t="inlineStr">
        <is>
          <t>contract_date_conflict</t>
        </is>
      </c>
      <c r="C167" t="inlineStr">
        <is>
          <t>medium</t>
        </is>
      </c>
      <c r="D167" s="14" t="n">
        <v>45108</v>
      </c>
      <c r="E167" t="inlineStr">
        <is>
          <t>C000100</t>
        </is>
      </c>
      <c r="F167" s="9" t="n">
        <v>1279.8</v>
      </c>
      <c r="G167" t="inlineStr">
        <is>
          <t>Invoice date falls outside the linked contract</t>
        </is>
      </c>
    </row>
    <row r="168">
      <c r="A168" t="inlineStr">
        <is>
          <t>INV00002377</t>
        </is>
      </c>
      <c r="B168" t="inlineStr">
        <is>
          <t>contract_date_conflict</t>
        </is>
      </c>
      <c r="C168" t="inlineStr">
        <is>
          <t>medium</t>
        </is>
      </c>
      <c r="D168" s="14" t="n">
        <v>45108</v>
      </c>
      <c r="E168" t="inlineStr">
        <is>
          <t>C000168</t>
        </is>
      </c>
      <c r="F168" s="9" t="n">
        <v>11920</v>
      </c>
      <c r="G168" t="inlineStr">
        <is>
          <t>Invoice date falls outside the linked contract</t>
        </is>
      </c>
    </row>
    <row r="169">
      <c r="A169" t="inlineStr">
        <is>
          <t>INV00002959</t>
        </is>
      </c>
      <c r="B169" t="inlineStr">
        <is>
          <t>contract_date_conflict</t>
        </is>
      </c>
      <c r="C169" t="inlineStr">
        <is>
          <t>medium</t>
        </is>
      </c>
      <c r="D169" s="14" t="n">
        <v>45108</v>
      </c>
      <c r="E169" t="inlineStr">
        <is>
          <t>C000216</t>
        </is>
      </c>
      <c r="F169" s="9" t="n">
        <v>1564.2</v>
      </c>
      <c r="G169" t="inlineStr">
        <is>
          <t>Invoice date falls outside the linked contract</t>
        </is>
      </c>
    </row>
    <row r="170">
      <c r="A170" t="inlineStr">
        <is>
          <t>INV00003610</t>
        </is>
      </c>
      <c r="B170" t="inlineStr">
        <is>
          <t>contract_date_conflict</t>
        </is>
      </c>
      <c r="C170" t="inlineStr">
        <is>
          <t>medium</t>
        </is>
      </c>
      <c r="D170" s="14" t="n">
        <v>45108</v>
      </c>
      <c r="E170" t="inlineStr">
        <is>
          <t>C000264</t>
        </is>
      </c>
      <c r="F170" s="9" t="n">
        <v>312</v>
      </c>
      <c r="G170" t="inlineStr">
        <is>
          <t>Invoice date falls outside the linked contract</t>
        </is>
      </c>
    </row>
    <row r="171">
      <c r="A171" t="inlineStr">
        <is>
          <t>INV00004828</t>
        </is>
      </c>
      <c r="B171" t="inlineStr">
        <is>
          <t>contract_date_conflict</t>
        </is>
      </c>
      <c r="C171" t="inlineStr">
        <is>
          <t>medium</t>
        </is>
      </c>
      <c r="D171" s="14" t="n">
        <v>45108</v>
      </c>
      <c r="E171" t="inlineStr">
        <is>
          <t>C000354</t>
        </is>
      </c>
      <c r="F171" s="9" t="n">
        <v>1659</v>
      </c>
      <c r="G171" t="inlineStr">
        <is>
          <t>Invoice date falls outside the linked contract</t>
        </is>
      </c>
    </row>
    <row r="172">
      <c r="A172" t="inlineStr">
        <is>
          <t>INV00004961</t>
        </is>
      </c>
      <c r="B172" t="inlineStr">
        <is>
          <t>contract_date_conflict</t>
        </is>
      </c>
      <c r="C172" t="inlineStr">
        <is>
          <t>medium</t>
        </is>
      </c>
      <c r="D172" s="14" t="n">
        <v>45108</v>
      </c>
      <c r="E172" t="inlineStr">
        <is>
          <t>C000361</t>
        </is>
      </c>
      <c r="F172" s="9" t="n">
        <v>1501</v>
      </c>
      <c r="G172" t="inlineStr">
        <is>
          <t>Invoice date falls outside the linked contract</t>
        </is>
      </c>
    </row>
    <row r="173">
      <c r="A173" t="inlineStr">
        <is>
          <t>INV00006759</t>
        </is>
      </c>
      <c r="B173" t="inlineStr">
        <is>
          <t>contract_date_conflict</t>
        </is>
      </c>
      <c r="C173" t="inlineStr">
        <is>
          <t>medium</t>
        </is>
      </c>
      <c r="D173" s="14" t="n">
        <v>45108</v>
      </c>
      <c r="E173" t="inlineStr">
        <is>
          <t>C000481</t>
        </is>
      </c>
      <c r="F173" s="9" t="n">
        <v>351</v>
      </c>
      <c r="G173" t="inlineStr">
        <is>
          <t>Invoice date falls outside the linked contract</t>
        </is>
      </c>
    </row>
    <row r="174">
      <c r="A174" t="inlineStr">
        <is>
          <t>INV00007424</t>
        </is>
      </c>
      <c r="B174" t="inlineStr">
        <is>
          <t>contract_date_conflict</t>
        </is>
      </c>
      <c r="C174" t="inlineStr">
        <is>
          <t>medium</t>
        </is>
      </c>
      <c r="D174" s="14" t="n">
        <v>45108</v>
      </c>
      <c r="E174" t="inlineStr">
        <is>
          <t>C000521</t>
        </is>
      </c>
      <c r="F174" s="9" t="n">
        <v>210.6</v>
      </c>
      <c r="G174" t="inlineStr">
        <is>
          <t>Invoice date falls outside the linked contract</t>
        </is>
      </c>
    </row>
    <row r="175">
      <c r="A175" t="inlineStr">
        <is>
          <t>INV00008182</t>
        </is>
      </c>
      <c r="B175" t="inlineStr">
        <is>
          <t>contract_date_conflict</t>
        </is>
      </c>
      <c r="C175" t="inlineStr">
        <is>
          <t>medium</t>
        </is>
      </c>
      <c r="D175" s="14" t="n">
        <v>45108</v>
      </c>
      <c r="E175" t="inlineStr">
        <is>
          <t>C000578</t>
        </is>
      </c>
      <c r="F175" s="9" t="n">
        <v>175.5</v>
      </c>
      <c r="G175" t="inlineStr">
        <is>
          <t>Invoice date falls outside the linked contract</t>
        </is>
      </c>
    </row>
    <row r="176">
      <c r="A176" t="inlineStr">
        <is>
          <t>INV00008593</t>
        </is>
      </c>
      <c r="B176" t="inlineStr">
        <is>
          <t>contract_date_conflict</t>
        </is>
      </c>
      <c r="C176" t="inlineStr">
        <is>
          <t>medium</t>
        </is>
      </c>
      <c r="D176" s="14" t="n">
        <v>45108</v>
      </c>
      <c r="E176" t="inlineStr">
        <is>
          <t>C000607</t>
        </is>
      </c>
      <c r="F176" s="9" t="n">
        <v>234</v>
      </c>
      <c r="G176" t="inlineStr">
        <is>
          <t>Invoice date falls outside the linked contract</t>
        </is>
      </c>
    </row>
    <row r="177">
      <c r="A177" t="inlineStr">
        <is>
          <t>INV00008623</t>
        </is>
      </c>
      <c r="B177" t="inlineStr">
        <is>
          <t>contract_date_conflict</t>
        </is>
      </c>
      <c r="C177" t="inlineStr">
        <is>
          <t>medium</t>
        </is>
      </c>
      <c r="D177" s="14" t="n">
        <v>45108</v>
      </c>
      <c r="E177" t="inlineStr">
        <is>
          <t>C000608</t>
        </is>
      </c>
      <c r="F177" s="9" t="n">
        <v>429</v>
      </c>
      <c r="G177" t="inlineStr">
        <is>
          <t>Invoice date falls outside the linked contract</t>
        </is>
      </c>
    </row>
    <row r="178">
      <c r="A178" t="inlineStr">
        <is>
          <t>INV00008761</t>
        </is>
      </c>
      <c r="B178" t="inlineStr">
        <is>
          <t>contract_date_conflict</t>
        </is>
      </c>
      <c r="C178" t="inlineStr">
        <is>
          <t>medium</t>
        </is>
      </c>
      <c r="D178" s="14" t="n">
        <v>45108</v>
      </c>
      <c r="E178" t="inlineStr">
        <is>
          <t>C000617</t>
        </is>
      </c>
      <c r="F178" s="9" t="n">
        <v>234</v>
      </c>
      <c r="G178" t="inlineStr">
        <is>
          <t>Invoice date falls outside the linked contract</t>
        </is>
      </c>
    </row>
    <row r="179">
      <c r="A179" t="inlineStr">
        <is>
          <t>INV00009089</t>
        </is>
      </c>
      <c r="B179" t="inlineStr">
        <is>
          <t>contract_date_conflict</t>
        </is>
      </c>
      <c r="C179" t="inlineStr">
        <is>
          <t>medium</t>
        </is>
      </c>
      <c r="D179" s="14" t="n">
        <v>45108</v>
      </c>
      <c r="E179" t="inlineStr">
        <is>
          <t>C000636</t>
        </is>
      </c>
      <c r="F179" s="9" t="n">
        <v>175.5</v>
      </c>
      <c r="G179" t="inlineStr">
        <is>
          <t>Invoice date falls outside the linked contract</t>
        </is>
      </c>
    </row>
    <row r="180">
      <c r="A180" t="inlineStr">
        <is>
          <t>INV00009349</t>
        </is>
      </c>
      <c r="B180" t="inlineStr">
        <is>
          <t>contract_date_conflict</t>
        </is>
      </c>
      <c r="C180" t="inlineStr">
        <is>
          <t>medium</t>
        </is>
      </c>
      <c r="D180" s="14" t="n">
        <v>45108</v>
      </c>
      <c r="E180" t="inlineStr">
        <is>
          <t>C000658</t>
        </is>
      </c>
      <c r="F180" s="9" t="n">
        <v>2559.6</v>
      </c>
      <c r="G180" t="inlineStr">
        <is>
          <t>Invoice date falls outside the linked contract</t>
        </is>
      </c>
    </row>
    <row r="181">
      <c r="A181" t="inlineStr">
        <is>
          <t>INV00010056</t>
        </is>
      </c>
      <c r="B181" t="inlineStr">
        <is>
          <t>contract_date_conflict</t>
        </is>
      </c>
      <c r="C181" t="inlineStr">
        <is>
          <t>medium</t>
        </is>
      </c>
      <c r="D181" s="14" t="n">
        <v>45108</v>
      </c>
      <c r="E181" t="inlineStr">
        <is>
          <t>C000709</t>
        </is>
      </c>
      <c r="F181" s="9" t="n">
        <v>390</v>
      </c>
      <c r="G181" t="inlineStr">
        <is>
          <t>Invoice date falls outside the linked contract</t>
        </is>
      </c>
    </row>
    <row r="182">
      <c r="A182" t="inlineStr">
        <is>
          <t>INV00011108</t>
        </is>
      </c>
      <c r="B182" t="inlineStr">
        <is>
          <t>contract_date_conflict</t>
        </is>
      </c>
      <c r="C182" t="inlineStr">
        <is>
          <t>medium</t>
        </is>
      </c>
      <c r="D182" s="14" t="n">
        <v>45108</v>
      </c>
      <c r="E182" t="inlineStr">
        <is>
          <t>C000781</t>
        </is>
      </c>
      <c r="F182" s="9" t="n">
        <v>1007.25</v>
      </c>
      <c r="G182" t="inlineStr">
        <is>
          <t>Invoice date falls outside the linked contract</t>
        </is>
      </c>
    </row>
    <row r="183">
      <c r="A183" t="inlineStr">
        <is>
          <t>INV00013103</t>
        </is>
      </c>
      <c r="B183" t="inlineStr">
        <is>
          <t>contract_date_conflict</t>
        </is>
      </c>
      <c r="C183" t="inlineStr">
        <is>
          <t>medium</t>
        </is>
      </c>
      <c r="D183" s="14" t="n">
        <v>45108</v>
      </c>
      <c r="E183" t="inlineStr">
        <is>
          <t>C000922</t>
        </is>
      </c>
      <c r="F183" s="9" t="n">
        <v>1185</v>
      </c>
      <c r="G183" t="inlineStr">
        <is>
          <t>Invoice date falls outside the linked contract</t>
        </is>
      </c>
    </row>
    <row r="184">
      <c r="A184" t="inlineStr">
        <is>
          <t>INV00013133</t>
        </is>
      </c>
      <c r="B184" t="inlineStr">
        <is>
          <t>contract_date_conflict</t>
        </is>
      </c>
      <c r="C184" t="inlineStr">
        <is>
          <t>medium</t>
        </is>
      </c>
      <c r="D184" s="14" t="n">
        <v>45108</v>
      </c>
      <c r="E184" t="inlineStr">
        <is>
          <t>C000923</t>
        </is>
      </c>
      <c r="F184" s="9" t="n">
        <v>7241.4</v>
      </c>
      <c r="G184" t="inlineStr">
        <is>
          <t>Invoice date falls outside the linked contract</t>
        </is>
      </c>
    </row>
    <row r="185">
      <c r="A185" t="inlineStr">
        <is>
          <t>INV00013150</t>
        </is>
      </c>
      <c r="B185" t="inlineStr">
        <is>
          <t>contract_date_conflict</t>
        </is>
      </c>
      <c r="C185" t="inlineStr">
        <is>
          <t>medium</t>
        </is>
      </c>
      <c r="D185" s="14" t="n">
        <v>45108</v>
      </c>
      <c r="E185" t="inlineStr">
        <is>
          <t>C000924</t>
        </is>
      </c>
      <c r="F185" s="9" t="n">
        <v>175.5</v>
      </c>
      <c r="G185" t="inlineStr">
        <is>
          <t>Invoice date falls outside the linked contract</t>
        </is>
      </c>
    </row>
    <row r="186">
      <c r="A186" t="inlineStr">
        <is>
          <t>INV00013337</t>
        </is>
      </c>
      <c r="B186" t="inlineStr">
        <is>
          <t>contract_date_conflict</t>
        </is>
      </c>
      <c r="C186" t="inlineStr">
        <is>
          <t>medium</t>
        </is>
      </c>
      <c r="D186" s="14" t="n">
        <v>45108</v>
      </c>
      <c r="E186" t="inlineStr">
        <is>
          <t>C000940</t>
        </is>
      </c>
      <c r="F186" s="9" t="n">
        <v>1738</v>
      </c>
      <c r="G186" t="inlineStr">
        <is>
          <t>Invoice date falls outside the linked contract</t>
        </is>
      </c>
    </row>
    <row r="187">
      <c r="A187" t="inlineStr">
        <is>
          <t>INV00013476</t>
        </is>
      </c>
      <c r="B187" t="inlineStr">
        <is>
          <t>contract_date_conflict</t>
        </is>
      </c>
      <c r="C187" t="inlineStr">
        <is>
          <t>medium</t>
        </is>
      </c>
      <c r="D187" s="14" t="n">
        <v>45108</v>
      </c>
      <c r="E187" t="inlineStr">
        <is>
          <t>C000951</t>
        </is>
      </c>
      <c r="F187" s="9" t="n">
        <v>280.8</v>
      </c>
      <c r="G187" t="inlineStr">
        <is>
          <t>Invoice date falls outside the linked contract</t>
        </is>
      </c>
    </row>
    <row r="188">
      <c r="A188" t="inlineStr">
        <is>
          <t>INV00013810</t>
        </is>
      </c>
      <c r="B188" t="inlineStr">
        <is>
          <t>contract_date_conflict</t>
        </is>
      </c>
      <c r="C188" t="inlineStr">
        <is>
          <t>medium</t>
        </is>
      </c>
      <c r="D188" s="14" t="n">
        <v>45108</v>
      </c>
      <c r="E188" t="inlineStr">
        <is>
          <t>C000977</t>
        </is>
      </c>
      <c r="F188" s="9" t="n">
        <v>429</v>
      </c>
      <c r="G188" t="inlineStr">
        <is>
          <t>Invoice date falls outside the linked contract</t>
        </is>
      </c>
    </row>
    <row r="189">
      <c r="A189" t="inlineStr">
        <is>
          <t>INV00013881</t>
        </is>
      </c>
      <c r="B189" t="inlineStr">
        <is>
          <t>contract_date_conflict</t>
        </is>
      </c>
      <c r="C189" t="inlineStr">
        <is>
          <t>medium</t>
        </is>
      </c>
      <c r="D189" s="14" t="n">
        <v>45108</v>
      </c>
      <c r="E189" t="inlineStr">
        <is>
          <t>C000982</t>
        </is>
      </c>
      <c r="F189" s="9" t="n">
        <v>364.65</v>
      </c>
      <c r="G189" t="inlineStr">
        <is>
          <t>Invoice date falls outside the linked contract</t>
        </is>
      </c>
    </row>
    <row r="190">
      <c r="A190" t="inlineStr">
        <is>
          <t>INV00014158</t>
        </is>
      </c>
      <c r="B190" t="inlineStr">
        <is>
          <t>contract_date_conflict</t>
        </is>
      </c>
      <c r="C190" t="inlineStr">
        <is>
          <t>medium</t>
        </is>
      </c>
      <c r="D190" s="14" t="n">
        <v>45108</v>
      </c>
      <c r="E190" t="inlineStr">
        <is>
          <t>C000996</t>
        </is>
      </c>
      <c r="F190" s="9" t="n">
        <v>7107.3</v>
      </c>
      <c r="G190" t="inlineStr">
        <is>
          <t>Invoice date falls outside the linked contract</t>
        </is>
      </c>
    </row>
    <row r="191">
      <c r="A191" t="inlineStr">
        <is>
          <t>INV00015227</t>
        </is>
      </c>
      <c r="B191" t="inlineStr">
        <is>
          <t>contract_date_conflict</t>
        </is>
      </c>
      <c r="C191" t="inlineStr">
        <is>
          <t>medium</t>
        </is>
      </c>
      <c r="D191" s="14" t="n">
        <v>45108</v>
      </c>
      <c r="E191" t="inlineStr">
        <is>
          <t>C001066</t>
        </is>
      </c>
      <c r="F191" s="9" t="n">
        <v>195</v>
      </c>
      <c r="G191" t="inlineStr">
        <is>
          <t>Invoice date falls outside the linked contract</t>
        </is>
      </c>
    </row>
    <row r="192">
      <c r="A192" t="inlineStr">
        <is>
          <t>INV00016119</t>
        </is>
      </c>
      <c r="B192" t="inlineStr">
        <is>
          <t>contract_date_conflict</t>
        </is>
      </c>
      <c r="C192" t="inlineStr">
        <is>
          <t>medium</t>
        </is>
      </c>
      <c r="D192" s="14" t="n">
        <v>45108</v>
      </c>
      <c r="E192" t="inlineStr">
        <is>
          <t>C001127</t>
        </is>
      </c>
      <c r="F192" s="9" t="n">
        <v>195</v>
      </c>
      <c r="G192" t="inlineStr">
        <is>
          <t>Invoice date falls outside the linked contract</t>
        </is>
      </c>
    </row>
    <row r="193">
      <c r="A193" t="inlineStr">
        <is>
          <t>INV00000038</t>
        </is>
      </c>
      <c r="B193" t="inlineStr">
        <is>
          <t>contract_date_conflict</t>
        </is>
      </c>
      <c r="C193" t="inlineStr">
        <is>
          <t>medium</t>
        </is>
      </c>
      <c r="D193" s="14" t="n">
        <v>45139</v>
      </c>
      <c r="E193" t="inlineStr">
        <is>
          <t>C000005</t>
        </is>
      </c>
      <c r="F193" s="9" t="n">
        <v>273</v>
      </c>
      <c r="G193" t="inlineStr">
        <is>
          <t>Invoice date falls outside the linked contract</t>
        </is>
      </c>
    </row>
    <row r="194">
      <c r="A194" t="inlineStr">
        <is>
          <t>INV00000389</t>
        </is>
      </c>
      <c r="B194" t="inlineStr">
        <is>
          <t>contract_date_conflict</t>
        </is>
      </c>
      <c r="C194" t="inlineStr">
        <is>
          <t>medium</t>
        </is>
      </c>
      <c r="D194" s="14" t="n">
        <v>45139</v>
      </c>
      <c r="E194" t="inlineStr">
        <is>
          <t>C000029</t>
        </is>
      </c>
      <c r="F194" s="9" t="n">
        <v>1817</v>
      </c>
      <c r="G194" t="inlineStr">
        <is>
          <t>Invoice date falls outside the linked contract</t>
        </is>
      </c>
    </row>
    <row r="195">
      <c r="A195" t="inlineStr">
        <is>
          <t>INV00001003</t>
        </is>
      </c>
      <c r="B195" t="inlineStr">
        <is>
          <t>contract_date_conflict</t>
        </is>
      </c>
      <c r="C195" t="inlineStr">
        <is>
          <t>medium</t>
        </is>
      </c>
      <c r="D195" s="14" t="n">
        <v>45139</v>
      </c>
      <c r="E195" t="inlineStr">
        <is>
          <t>C000068</t>
        </is>
      </c>
      <c r="F195" s="9" t="n">
        <v>273</v>
      </c>
      <c r="G195" t="inlineStr">
        <is>
          <t>Invoice date falls outside the linked contract</t>
        </is>
      </c>
    </row>
    <row r="196">
      <c r="A196" t="inlineStr">
        <is>
          <t>INV00001292</t>
        </is>
      </c>
      <c r="B196" t="inlineStr">
        <is>
          <t>contract_date_conflict</t>
        </is>
      </c>
      <c r="C196" t="inlineStr">
        <is>
          <t>medium</t>
        </is>
      </c>
      <c r="D196" s="14" t="n">
        <v>45139</v>
      </c>
      <c r="E196" t="inlineStr">
        <is>
          <t>C000086</t>
        </is>
      </c>
      <c r="F196" s="9" t="n">
        <v>195</v>
      </c>
      <c r="G196" t="inlineStr">
        <is>
          <t>Invoice date falls outside the linked contract</t>
        </is>
      </c>
    </row>
    <row r="197">
      <c r="A197" t="inlineStr">
        <is>
          <t>INV00003665</t>
        </is>
      </c>
      <c r="B197" t="inlineStr">
        <is>
          <t>contract_date_conflict</t>
        </is>
      </c>
      <c r="C197" t="inlineStr">
        <is>
          <t>medium</t>
        </is>
      </c>
      <c r="D197" s="14" t="n">
        <v>45139</v>
      </c>
      <c r="E197" t="inlineStr">
        <is>
          <t>C000270</t>
        </is>
      </c>
      <c r="F197" s="9" t="n">
        <v>2449</v>
      </c>
      <c r="G197" t="inlineStr">
        <is>
          <t>Invoice date falls outside the linked contract</t>
        </is>
      </c>
    </row>
    <row r="198">
      <c r="A198" t="inlineStr">
        <is>
          <t>INV00004738</t>
        </is>
      </c>
      <c r="B198" t="inlineStr">
        <is>
          <t>contract_date_conflict</t>
        </is>
      </c>
      <c r="C198" t="inlineStr">
        <is>
          <t>medium</t>
        </is>
      </c>
      <c r="D198" s="14" t="n">
        <v>45139</v>
      </c>
      <c r="E198" t="inlineStr">
        <is>
          <t>C000349</t>
        </is>
      </c>
      <c r="F198" s="9" t="n">
        <v>1975</v>
      </c>
      <c r="G198" t="inlineStr">
        <is>
          <t>Invoice date falls outside the linked contract</t>
        </is>
      </c>
    </row>
    <row r="199">
      <c r="A199" t="inlineStr">
        <is>
          <t>INV00006535</t>
        </is>
      </c>
      <c r="B199" t="inlineStr">
        <is>
          <t>contract_date_conflict</t>
        </is>
      </c>
      <c r="C199" t="inlineStr">
        <is>
          <t>medium</t>
        </is>
      </c>
      <c r="D199" s="14" t="n">
        <v>45139</v>
      </c>
      <c r="E199" t="inlineStr">
        <is>
          <t>C000466</t>
        </is>
      </c>
      <c r="F199" s="9" t="n">
        <v>273</v>
      </c>
      <c r="G199" t="inlineStr">
        <is>
          <t>Invoice date falls outside the linked contract</t>
        </is>
      </c>
    </row>
    <row r="200">
      <c r="A200" t="inlineStr">
        <is>
          <t>INV00006843</t>
        </is>
      </c>
      <c r="B200" t="inlineStr">
        <is>
          <t>contract_date_conflict</t>
        </is>
      </c>
      <c r="C200" t="inlineStr">
        <is>
          <t>medium</t>
        </is>
      </c>
      <c r="D200" s="14" t="n">
        <v>45139</v>
      </c>
      <c r="E200" t="inlineStr">
        <is>
          <t>C000485</t>
        </is>
      </c>
      <c r="F200" s="9" t="n">
        <v>175.5</v>
      </c>
      <c r="G200" t="inlineStr">
        <is>
          <t>Invoice date falls outside the linked contract</t>
        </is>
      </c>
    </row>
    <row r="201">
      <c r="A201" t="inlineStr">
        <is>
          <t>INV00007991</t>
        </is>
      </c>
      <c r="B201" t="inlineStr">
        <is>
          <t>contract_date_conflict</t>
        </is>
      </c>
      <c r="C201" t="inlineStr">
        <is>
          <t>medium</t>
        </is>
      </c>
      <c r="D201" s="14" t="n">
        <v>45139</v>
      </c>
      <c r="E201" t="inlineStr">
        <is>
          <t>C000569</t>
        </is>
      </c>
      <c r="F201" s="9" t="n">
        <v>1343</v>
      </c>
      <c r="G201" t="inlineStr">
        <is>
          <t>Invoice date falls outside the linked contract</t>
        </is>
      </c>
    </row>
    <row r="202">
      <c r="A202" t="inlineStr">
        <is>
          <t>INV00008257</t>
        </is>
      </c>
      <c r="B202" t="inlineStr">
        <is>
          <t>contract_date_conflict</t>
        </is>
      </c>
      <c r="C202" t="inlineStr">
        <is>
          <t>medium</t>
        </is>
      </c>
      <c r="D202" s="14" t="n">
        <v>45139</v>
      </c>
      <c r="E202" t="inlineStr">
        <is>
          <t>C000584</t>
        </is>
      </c>
      <c r="F202" s="9" t="n">
        <v>10474.7</v>
      </c>
      <c r="G202" t="inlineStr">
        <is>
          <t>Invoice date falls outside the linked contract</t>
        </is>
      </c>
    </row>
    <row r="203">
      <c r="A203" t="inlineStr">
        <is>
          <t>INV00008667</t>
        </is>
      </c>
      <c r="B203" t="inlineStr">
        <is>
          <t>contract_date_conflict</t>
        </is>
      </c>
      <c r="C203" t="inlineStr">
        <is>
          <t>medium</t>
        </is>
      </c>
      <c r="D203" s="14" t="n">
        <v>45139</v>
      </c>
      <c r="E203" t="inlineStr">
        <is>
          <t>C000611</t>
        </is>
      </c>
      <c r="F203" s="9" t="n">
        <v>195</v>
      </c>
      <c r="G203" t="inlineStr">
        <is>
          <t>Invoice date falls outside the linked contract</t>
        </is>
      </c>
    </row>
    <row r="204">
      <c r="A204" t="inlineStr">
        <is>
          <t>INV00008791</t>
        </is>
      </c>
      <c r="B204" t="inlineStr">
        <is>
          <t>contract_date_conflict</t>
        </is>
      </c>
      <c r="C204" t="inlineStr">
        <is>
          <t>medium</t>
        </is>
      </c>
      <c r="D204" s="14" t="n">
        <v>45139</v>
      </c>
      <c r="E204" t="inlineStr">
        <is>
          <t>C000618</t>
        </is>
      </c>
      <c r="F204" s="9" t="n">
        <v>7450</v>
      </c>
      <c r="G204" t="inlineStr">
        <is>
          <t>Invoice date falls outside the linked contract</t>
        </is>
      </c>
    </row>
    <row r="205">
      <c r="A205" t="inlineStr">
        <is>
          <t>INV00009060</t>
        </is>
      </c>
      <c r="B205" t="inlineStr">
        <is>
          <t>contract_date_conflict</t>
        </is>
      </c>
      <c r="C205" t="inlineStr">
        <is>
          <t>medium</t>
        </is>
      </c>
      <c r="D205" s="14" t="n">
        <v>45139</v>
      </c>
      <c r="E205" t="inlineStr">
        <is>
          <t>C000635</t>
        </is>
      </c>
      <c r="F205" s="9" t="n">
        <v>1896</v>
      </c>
      <c r="G205" t="inlineStr">
        <is>
          <t>Invoice date falls outside the linked contract</t>
        </is>
      </c>
    </row>
    <row r="206">
      <c r="A206" t="inlineStr">
        <is>
          <t>INV00009492</t>
        </is>
      </c>
      <c r="B206" t="inlineStr">
        <is>
          <t>contract_date_conflict</t>
        </is>
      </c>
      <c r="C206" t="inlineStr">
        <is>
          <t>medium</t>
        </is>
      </c>
      <c r="D206" s="14" t="n">
        <v>45139</v>
      </c>
      <c r="E206" t="inlineStr">
        <is>
          <t>C000668</t>
        </is>
      </c>
      <c r="F206" s="9" t="n">
        <v>280.8</v>
      </c>
      <c r="G206" t="inlineStr">
        <is>
          <t>Invoice date falls outside the linked contract</t>
        </is>
      </c>
    </row>
    <row r="207">
      <c r="A207" t="inlineStr">
        <is>
          <t>INV00010884</t>
        </is>
      </c>
      <c r="B207" t="inlineStr">
        <is>
          <t>contract_date_conflict</t>
        </is>
      </c>
      <c r="C207" t="inlineStr">
        <is>
          <t>medium</t>
        </is>
      </c>
      <c r="D207" s="14" t="n">
        <v>45139</v>
      </c>
      <c r="E207" t="inlineStr">
        <is>
          <t>C000765</t>
        </is>
      </c>
      <c r="F207" s="9" t="n">
        <v>333.45</v>
      </c>
      <c r="G207" t="inlineStr">
        <is>
          <t>Invoice date falls outside the linked contract</t>
        </is>
      </c>
    </row>
    <row r="208">
      <c r="A208" t="inlineStr">
        <is>
          <t>INV00010969</t>
        </is>
      </c>
      <c r="B208" t="inlineStr">
        <is>
          <t>contract_date_conflict</t>
        </is>
      </c>
      <c r="C208" t="inlineStr">
        <is>
          <t>medium</t>
        </is>
      </c>
      <c r="D208" s="14" t="n">
        <v>45139</v>
      </c>
      <c r="E208" t="inlineStr">
        <is>
          <t>C000771</t>
        </is>
      </c>
      <c r="F208" s="9" t="n">
        <v>1343</v>
      </c>
      <c r="G208" t="inlineStr">
        <is>
          <t>Invoice date falls outside the linked contract</t>
        </is>
      </c>
    </row>
    <row r="209">
      <c r="A209" t="inlineStr">
        <is>
          <t>INV00011311</t>
        </is>
      </c>
      <c r="B209" t="inlineStr">
        <is>
          <t>contract_date_conflict</t>
        </is>
      </c>
      <c r="C209" t="inlineStr">
        <is>
          <t>medium</t>
        </is>
      </c>
      <c r="D209" s="14" t="n">
        <v>45139</v>
      </c>
      <c r="E209" t="inlineStr">
        <is>
          <t>C000794</t>
        </is>
      </c>
      <c r="F209" s="9" t="n">
        <v>234</v>
      </c>
      <c r="G209" t="inlineStr">
        <is>
          <t>Invoice date falls outside the linked contract</t>
        </is>
      </c>
    </row>
    <row r="210">
      <c r="A210" t="inlineStr">
        <is>
          <t>INV00011602</t>
        </is>
      </c>
      <c r="B210" t="inlineStr">
        <is>
          <t>contract_date_conflict</t>
        </is>
      </c>
      <c r="C210" t="inlineStr">
        <is>
          <t>medium</t>
        </is>
      </c>
      <c r="D210" s="14" t="n">
        <v>45139</v>
      </c>
      <c r="E210" t="inlineStr">
        <is>
          <t>C000818</t>
        </is>
      </c>
      <c r="F210" s="9" t="n">
        <v>280.8</v>
      </c>
      <c r="G210" t="inlineStr">
        <is>
          <t>Invoice date falls outside the linked contract</t>
        </is>
      </c>
    </row>
    <row r="211">
      <c r="A211" t="inlineStr">
        <is>
          <t>INV00011935</t>
        </is>
      </c>
      <c r="B211" t="inlineStr">
        <is>
          <t>contract_date_conflict</t>
        </is>
      </c>
      <c r="C211" t="inlineStr">
        <is>
          <t>medium</t>
        </is>
      </c>
      <c r="D211" s="14" t="n">
        <v>45139</v>
      </c>
      <c r="E211" t="inlineStr">
        <is>
          <t>C000839</t>
        </is>
      </c>
      <c r="F211" s="9" t="n">
        <v>1185</v>
      </c>
      <c r="G211" t="inlineStr">
        <is>
          <t>Invoice date falls outside the linked contract</t>
        </is>
      </c>
    </row>
    <row r="212">
      <c r="A212" t="inlineStr">
        <is>
          <t>INV00012833</t>
        </is>
      </c>
      <c r="B212" t="inlineStr">
        <is>
          <t>contract_date_conflict</t>
        </is>
      </c>
      <c r="C212" t="inlineStr">
        <is>
          <t>medium</t>
        </is>
      </c>
      <c r="D212" s="14" t="n">
        <v>45139</v>
      </c>
      <c r="E212" t="inlineStr">
        <is>
          <t>C000905</t>
        </is>
      </c>
      <c r="F212" s="9" t="n">
        <v>1501</v>
      </c>
      <c r="G212" t="inlineStr">
        <is>
          <t>Invoice date falls outside the linked contract</t>
        </is>
      </c>
    </row>
    <row r="213">
      <c r="A213" t="inlineStr">
        <is>
          <t>INV00014016</t>
        </is>
      </c>
      <c r="B213" t="inlineStr">
        <is>
          <t>contract_date_conflict</t>
        </is>
      </c>
      <c r="C213" t="inlineStr">
        <is>
          <t>medium</t>
        </is>
      </c>
      <c r="D213" s="14" t="n">
        <v>45139</v>
      </c>
      <c r="E213" t="inlineStr">
        <is>
          <t>C000989</t>
        </is>
      </c>
      <c r="F213" s="9" t="n">
        <v>507</v>
      </c>
      <c r="G213" t="inlineStr">
        <is>
          <t>Invoice date falls outside the linked contract</t>
        </is>
      </c>
    </row>
    <row r="214">
      <c r="A214" t="inlineStr">
        <is>
          <t>INV00014837</t>
        </is>
      </c>
      <c r="B214" t="inlineStr">
        <is>
          <t>contract_date_conflict</t>
        </is>
      </c>
      <c r="C214" t="inlineStr">
        <is>
          <t>medium</t>
        </is>
      </c>
      <c r="D214" s="14" t="n">
        <v>45139</v>
      </c>
      <c r="E214" t="inlineStr">
        <is>
          <t>C001039</t>
        </is>
      </c>
      <c r="F214" s="9" t="n">
        <v>280.8</v>
      </c>
      <c r="G214" t="inlineStr">
        <is>
          <t>Invoice date falls outside the linked contract</t>
        </is>
      </c>
    </row>
    <row r="215">
      <c r="A215" t="inlineStr">
        <is>
          <t>INV00015456</t>
        </is>
      </c>
      <c r="B215" t="inlineStr">
        <is>
          <t>contract_date_conflict</t>
        </is>
      </c>
      <c r="C215" t="inlineStr">
        <is>
          <t>medium</t>
        </is>
      </c>
      <c r="D215" s="14" t="n">
        <v>45139</v>
      </c>
      <c r="E215" t="inlineStr">
        <is>
          <t>C001076</t>
        </is>
      </c>
      <c r="F215" s="9" t="n">
        <v>1410.15</v>
      </c>
      <c r="G215" t="inlineStr">
        <is>
          <t>Invoice date falls outside the linked contract</t>
        </is>
      </c>
    </row>
    <row r="216">
      <c r="A216" t="inlineStr">
        <is>
          <t>INV00015805</t>
        </is>
      </c>
      <c r="B216" t="inlineStr">
        <is>
          <t>contract_date_conflict</t>
        </is>
      </c>
      <c r="C216" t="inlineStr">
        <is>
          <t>medium</t>
        </is>
      </c>
      <c r="D216" s="14" t="n">
        <v>45139</v>
      </c>
      <c r="E216" t="inlineStr">
        <is>
          <t>C001098</t>
        </is>
      </c>
      <c r="F216" s="9" t="n">
        <v>13112</v>
      </c>
      <c r="G216" t="inlineStr">
        <is>
          <t>Invoice date falls outside the linked contract</t>
        </is>
      </c>
    </row>
    <row r="217">
      <c r="A217" t="inlineStr">
        <is>
          <t>INV00015834</t>
        </is>
      </c>
      <c r="B217" t="inlineStr">
        <is>
          <t>contract_date_conflict</t>
        </is>
      </c>
      <c r="C217" t="inlineStr">
        <is>
          <t>medium</t>
        </is>
      </c>
      <c r="D217" s="14" t="n">
        <v>45139</v>
      </c>
      <c r="E217" t="inlineStr">
        <is>
          <t>C001099</t>
        </is>
      </c>
      <c r="F217" s="9" t="n">
        <v>3894.7</v>
      </c>
      <c r="G217" t="inlineStr">
        <is>
          <t>Invoice date falls outside the linked contract</t>
        </is>
      </c>
    </row>
    <row r="218">
      <c r="A218" t="inlineStr">
        <is>
          <t>INV00015919</t>
        </is>
      </c>
      <c r="B218" t="inlineStr">
        <is>
          <t>contract_date_conflict</t>
        </is>
      </c>
      <c r="C218" t="inlineStr">
        <is>
          <t>medium</t>
        </is>
      </c>
      <c r="D218" s="14" t="n">
        <v>45139</v>
      </c>
      <c r="E218" t="inlineStr">
        <is>
          <t>C001103</t>
        </is>
      </c>
      <c r="F218" s="9" t="n">
        <v>364.65</v>
      </c>
      <c r="G218" t="inlineStr">
        <is>
          <t>Invoice date falls outside the linked contract</t>
        </is>
      </c>
    </row>
    <row r="219">
      <c r="A219" t="inlineStr">
        <is>
          <t>INV00016729</t>
        </is>
      </c>
      <c r="B219" t="inlineStr">
        <is>
          <t>contract_date_conflict</t>
        </is>
      </c>
      <c r="C219" t="inlineStr">
        <is>
          <t>medium</t>
        </is>
      </c>
      <c r="D219" s="14" t="n">
        <v>45139</v>
      </c>
      <c r="E219" t="inlineStr">
        <is>
          <t>C001164</t>
        </is>
      </c>
      <c r="F219" s="9" t="n">
        <v>1279.8</v>
      </c>
      <c r="G219" t="inlineStr">
        <is>
          <t>Invoice date falls outside the linked contract</t>
        </is>
      </c>
    </row>
    <row r="220">
      <c r="A220" t="inlineStr">
        <is>
          <t>INV00017005</t>
        </is>
      </c>
      <c r="B220" t="inlineStr">
        <is>
          <t>contract_date_conflict</t>
        </is>
      </c>
      <c r="C220" t="inlineStr">
        <is>
          <t>medium</t>
        </is>
      </c>
      <c r="D220" s="14" t="n">
        <v>45139</v>
      </c>
      <c r="E220" t="inlineStr">
        <is>
          <t>C001181</t>
        </is>
      </c>
      <c r="F220" s="9" t="n">
        <v>1185</v>
      </c>
      <c r="G220" t="inlineStr">
        <is>
          <t>Invoice date falls outside the linked contract</t>
        </is>
      </c>
    </row>
    <row r="221">
      <c r="A221" t="inlineStr">
        <is>
          <t>INV00002324</t>
        </is>
      </c>
      <c r="B221" t="inlineStr">
        <is>
          <t>contract_date_conflict</t>
        </is>
      </c>
      <c r="C221" t="inlineStr">
        <is>
          <t>medium</t>
        </is>
      </c>
      <c r="D221" s="14" t="n">
        <v>45170</v>
      </c>
      <c r="E221" t="inlineStr">
        <is>
          <t>C000166</t>
        </is>
      </c>
      <c r="F221" s="9" t="n">
        <v>6965.75</v>
      </c>
      <c r="G221" t="inlineStr">
        <is>
          <t>Invoice date falls outside the linked contract</t>
        </is>
      </c>
    </row>
    <row r="222">
      <c r="A222" t="inlineStr">
        <is>
          <t>INV00002777</t>
        </is>
      </c>
      <c r="B222" t="inlineStr">
        <is>
          <t>contract_date_conflict</t>
        </is>
      </c>
      <c r="C222" t="inlineStr">
        <is>
          <t>medium</t>
        </is>
      </c>
      <c r="D222" s="14" t="n">
        <v>45170</v>
      </c>
      <c r="E222" t="inlineStr">
        <is>
          <t>C000200</t>
        </is>
      </c>
      <c r="F222" s="9" t="n">
        <v>185.25</v>
      </c>
      <c r="G222" t="inlineStr">
        <is>
          <t>Invoice date falls outside the linked contract</t>
        </is>
      </c>
    </row>
    <row r="223">
      <c r="A223" t="inlineStr">
        <is>
          <t>INV00003303</t>
        </is>
      </c>
      <c r="B223" t="inlineStr">
        <is>
          <t>contract_date_conflict</t>
        </is>
      </c>
      <c r="C223" t="inlineStr">
        <is>
          <t>medium</t>
        </is>
      </c>
      <c r="D223" s="14" t="n">
        <v>45170</v>
      </c>
      <c r="E223" t="inlineStr">
        <is>
          <t>C000241</t>
        </is>
      </c>
      <c r="F223" s="9" t="n">
        <v>234</v>
      </c>
      <c r="G223" t="inlineStr">
        <is>
          <t>Invoice date falls outside the linked contract</t>
        </is>
      </c>
    </row>
    <row r="224">
      <c r="A224" t="inlineStr">
        <is>
          <t>INV00003798</t>
        </is>
      </c>
      <c r="B224" t="inlineStr">
        <is>
          <t>contract_date_conflict</t>
        </is>
      </c>
      <c r="C224" t="inlineStr">
        <is>
          <t>medium</t>
        </is>
      </c>
      <c r="D224" s="14" t="n">
        <v>45170</v>
      </c>
      <c r="E224" t="inlineStr">
        <is>
          <t>C000279</t>
        </is>
      </c>
      <c r="F224" s="9" t="n">
        <v>185.25</v>
      </c>
      <c r="G224" t="inlineStr">
        <is>
          <t>Invoice date falls outside the linked contract</t>
        </is>
      </c>
    </row>
    <row r="225">
      <c r="A225" t="inlineStr">
        <is>
          <t>INV00005011</t>
        </is>
      </c>
      <c r="B225" t="inlineStr">
        <is>
          <t>contract_date_conflict</t>
        </is>
      </c>
      <c r="C225" t="inlineStr">
        <is>
          <t>medium</t>
        </is>
      </c>
      <c r="D225" s="14" t="n">
        <v>45170</v>
      </c>
      <c r="E225" t="inlineStr">
        <is>
          <t>C000363</t>
        </is>
      </c>
      <c r="F225" s="9" t="n">
        <v>210.6</v>
      </c>
      <c r="G225" t="inlineStr">
        <is>
          <t>Invoice date falls outside the linked contract</t>
        </is>
      </c>
    </row>
    <row r="226">
      <c r="A226" t="inlineStr">
        <is>
          <t>INV00005479</t>
        </is>
      </c>
      <c r="B226" t="inlineStr">
        <is>
          <t>contract_date_conflict</t>
        </is>
      </c>
      <c r="C226" t="inlineStr">
        <is>
          <t>medium</t>
        </is>
      </c>
      <c r="D226" s="14" t="n">
        <v>45170</v>
      </c>
      <c r="E226" t="inlineStr">
        <is>
          <t>C000391</t>
        </is>
      </c>
      <c r="F226" s="9" t="n">
        <v>165.75</v>
      </c>
      <c r="G226" t="inlineStr">
        <is>
          <t>Invoice date falls outside the linked contract</t>
        </is>
      </c>
    </row>
    <row r="227">
      <c r="A227" t="inlineStr">
        <is>
          <t>INV00007174</t>
        </is>
      </c>
      <c r="B227" t="inlineStr">
        <is>
          <t>contract_date_conflict</t>
        </is>
      </c>
      <c r="C227" t="inlineStr">
        <is>
          <t>medium</t>
        </is>
      </c>
      <c r="D227" s="14" t="n">
        <v>45170</v>
      </c>
      <c r="E227" t="inlineStr">
        <is>
          <t>C000503</t>
        </is>
      </c>
      <c r="F227" s="9" t="n">
        <v>1185</v>
      </c>
      <c r="G227" t="inlineStr">
        <is>
          <t>Invoice date falls outside the linked contract</t>
        </is>
      </c>
    </row>
    <row r="228">
      <c r="A228" t="inlineStr">
        <is>
          <t>INV00007604</t>
        </is>
      </c>
      <c r="B228" t="inlineStr">
        <is>
          <t>contract_date_conflict</t>
        </is>
      </c>
      <c r="C228" t="inlineStr">
        <is>
          <t>medium</t>
        </is>
      </c>
      <c r="D228" s="14" t="n">
        <v>45170</v>
      </c>
      <c r="E228" t="inlineStr">
        <is>
          <t>C000533</t>
        </is>
      </c>
      <c r="F228" s="9" t="n">
        <v>175.5</v>
      </c>
      <c r="G228" t="inlineStr">
        <is>
          <t>Invoice date falls outside the linked contract</t>
        </is>
      </c>
    </row>
    <row r="229">
      <c r="A229" t="inlineStr">
        <is>
          <t>INV00007933</t>
        </is>
      </c>
      <c r="B229" t="inlineStr">
        <is>
          <t>contract_date_conflict</t>
        </is>
      </c>
      <c r="C229" t="inlineStr">
        <is>
          <t>medium</t>
        </is>
      </c>
      <c r="D229" s="14" t="n">
        <v>45170</v>
      </c>
      <c r="E229" t="inlineStr">
        <is>
          <t>C000564</t>
        </is>
      </c>
      <c r="F229" s="9" t="n">
        <v>312</v>
      </c>
      <c r="G229" t="inlineStr">
        <is>
          <t>Invoice date falls outside the linked contract</t>
        </is>
      </c>
    </row>
    <row r="230">
      <c r="A230" t="inlineStr">
        <is>
          <t>INV00008037</t>
        </is>
      </c>
      <c r="B230" t="inlineStr">
        <is>
          <t>contract_date_conflict</t>
        </is>
      </c>
      <c r="C230" t="inlineStr">
        <is>
          <t>medium</t>
        </is>
      </c>
      <c r="D230" s="14" t="n">
        <v>45170</v>
      </c>
      <c r="E230" t="inlineStr">
        <is>
          <t>C000572</t>
        </is>
      </c>
      <c r="F230" s="9" t="n">
        <v>444.6</v>
      </c>
      <c r="G230" t="inlineStr">
        <is>
          <t>Invoice date falls outside the linked contract</t>
        </is>
      </c>
    </row>
    <row r="231">
      <c r="A231" t="inlineStr">
        <is>
          <t>INV00008133</t>
        </is>
      </c>
      <c r="B231" t="inlineStr">
        <is>
          <t>contract_date_conflict</t>
        </is>
      </c>
      <c r="C231" t="inlineStr">
        <is>
          <t>medium</t>
        </is>
      </c>
      <c r="D231" s="14" t="n">
        <v>45170</v>
      </c>
      <c r="E231" t="inlineStr">
        <is>
          <t>C000576</t>
        </is>
      </c>
      <c r="F231" s="9" t="n">
        <v>210.6</v>
      </c>
      <c r="G231" t="inlineStr">
        <is>
          <t>Invoice date falls outside the linked contract</t>
        </is>
      </c>
    </row>
    <row r="232">
      <c r="A232" t="inlineStr">
        <is>
          <t>INV00009124</t>
        </is>
      </c>
      <c r="B232" t="inlineStr">
        <is>
          <t>contract_date_conflict</t>
        </is>
      </c>
      <c r="C232" t="inlineStr">
        <is>
          <t>medium</t>
        </is>
      </c>
      <c r="D232" s="14" t="n">
        <v>45170</v>
      </c>
      <c r="E232" t="inlineStr">
        <is>
          <t>C000639</t>
        </is>
      </c>
      <c r="F232" s="9" t="n">
        <v>195</v>
      </c>
      <c r="G232" t="inlineStr">
        <is>
          <t>Invoice date falls outside the linked contract</t>
        </is>
      </c>
    </row>
    <row r="233">
      <c r="A233" t="inlineStr">
        <is>
          <t>INV00011380</t>
        </is>
      </c>
      <c r="B233" t="inlineStr">
        <is>
          <t>contract_date_conflict</t>
        </is>
      </c>
      <c r="C233" t="inlineStr">
        <is>
          <t>medium</t>
        </is>
      </c>
      <c r="D233" s="14" t="n">
        <v>45170</v>
      </c>
      <c r="E233" t="inlineStr">
        <is>
          <t>C000799</t>
        </is>
      </c>
      <c r="F233" s="9" t="n">
        <v>1817</v>
      </c>
      <c r="G233" t="inlineStr">
        <is>
          <t>Invoice date falls outside the linked contract</t>
        </is>
      </c>
    </row>
    <row r="234">
      <c r="A234" t="inlineStr">
        <is>
          <t>INV00012735</t>
        </is>
      </c>
      <c r="B234" t="inlineStr">
        <is>
          <t>contract_date_conflict</t>
        </is>
      </c>
      <c r="C234" t="inlineStr">
        <is>
          <t>medium</t>
        </is>
      </c>
      <c r="D234" s="14" t="n">
        <v>45170</v>
      </c>
      <c r="E234" t="inlineStr">
        <is>
          <t>C000897</t>
        </is>
      </c>
      <c r="F234" s="9" t="n">
        <v>390</v>
      </c>
      <c r="G234" t="inlineStr">
        <is>
          <t>Invoice date falls outside the linked contract</t>
        </is>
      </c>
    </row>
    <row r="235">
      <c r="A235" t="inlineStr">
        <is>
          <t>INV00014559</t>
        </is>
      </c>
      <c r="B235" t="inlineStr">
        <is>
          <t>contract_date_conflict</t>
        </is>
      </c>
      <c r="C235" t="inlineStr">
        <is>
          <t>medium</t>
        </is>
      </c>
      <c r="D235" s="14" t="n">
        <v>45170</v>
      </c>
      <c r="E235" t="inlineStr">
        <is>
          <t>C001020</t>
        </is>
      </c>
      <c r="F235" s="9" t="n">
        <v>1659</v>
      </c>
      <c r="G235" t="inlineStr">
        <is>
          <t>Invoice date falls outside the linked contract</t>
        </is>
      </c>
    </row>
    <row r="236">
      <c r="A236" t="inlineStr">
        <is>
          <t>INV00015068</t>
        </is>
      </c>
      <c r="B236" t="inlineStr">
        <is>
          <t>contract_date_conflict</t>
        </is>
      </c>
      <c r="C236" t="inlineStr">
        <is>
          <t>medium</t>
        </is>
      </c>
      <c r="D236" s="14" t="n">
        <v>45170</v>
      </c>
      <c r="E236" t="inlineStr">
        <is>
          <t>C001055</t>
        </is>
      </c>
      <c r="F236" s="9" t="n">
        <v>1350.9</v>
      </c>
      <c r="G236" t="inlineStr">
        <is>
          <t>Invoice date falls outside the linked contract</t>
        </is>
      </c>
    </row>
    <row r="237">
      <c r="A237" t="inlineStr">
        <is>
          <t>INV00015639</t>
        </is>
      </c>
      <c r="B237" t="inlineStr">
        <is>
          <t>contract_date_conflict</t>
        </is>
      </c>
      <c r="C237" t="inlineStr">
        <is>
          <t>medium</t>
        </is>
      </c>
      <c r="D237" s="14" t="n">
        <v>45170</v>
      </c>
      <c r="E237" t="inlineStr">
        <is>
          <t>C001086</t>
        </is>
      </c>
      <c r="F237" s="9" t="n">
        <v>975</v>
      </c>
      <c r="G237" t="inlineStr">
        <is>
          <t>Invoice date falls outside the linked contract</t>
        </is>
      </c>
    </row>
    <row r="238">
      <c r="A238" t="inlineStr">
        <is>
          <t>INV00015679</t>
        </is>
      </c>
      <c r="B238" t="inlineStr">
        <is>
          <t>contract_date_conflict</t>
        </is>
      </c>
      <c r="C238" t="inlineStr">
        <is>
          <t>medium</t>
        </is>
      </c>
      <c r="D238" s="14" t="n">
        <v>45170</v>
      </c>
      <c r="E238" t="inlineStr">
        <is>
          <t>C001088</t>
        </is>
      </c>
      <c r="F238" s="9" t="n">
        <v>1951.3</v>
      </c>
      <c r="G238" t="inlineStr">
        <is>
          <t>Invoice date falls outside the linked contract</t>
        </is>
      </c>
    </row>
    <row r="239">
      <c r="A239" t="inlineStr">
        <is>
          <t>INV00015777</t>
        </is>
      </c>
      <c r="B239" t="inlineStr">
        <is>
          <t>contract_date_conflict</t>
        </is>
      </c>
      <c r="C239" t="inlineStr">
        <is>
          <t>medium</t>
        </is>
      </c>
      <c r="D239" s="14" t="n">
        <v>45170</v>
      </c>
      <c r="E239" t="inlineStr">
        <is>
          <t>C001097</t>
        </is>
      </c>
      <c r="F239" s="9" t="n">
        <v>351</v>
      </c>
      <c r="G239" t="inlineStr">
        <is>
          <t>Invoice date falls outside the linked contract</t>
        </is>
      </c>
    </row>
    <row r="240">
      <c r="A240" t="inlineStr">
        <is>
          <t>INV00016017</t>
        </is>
      </c>
      <c r="B240" t="inlineStr">
        <is>
          <t>contract_date_conflict</t>
        </is>
      </c>
      <c r="C240" t="inlineStr">
        <is>
          <t>medium</t>
        </is>
      </c>
      <c r="D240" s="14" t="n">
        <v>45170</v>
      </c>
      <c r="E240" t="inlineStr">
        <is>
          <t>C001117</t>
        </is>
      </c>
      <c r="F240" s="9" t="n">
        <v>8850.6</v>
      </c>
      <c r="G240" t="inlineStr">
        <is>
          <t>Invoice date falls outside the linked contract</t>
        </is>
      </c>
    </row>
    <row r="241">
      <c r="A241" t="inlineStr">
        <is>
          <t>INV00017320</t>
        </is>
      </c>
      <c r="B241" t="inlineStr">
        <is>
          <t>contract_date_conflict</t>
        </is>
      </c>
      <c r="C241" t="inlineStr">
        <is>
          <t>medium</t>
        </is>
      </c>
      <c r="D241" s="14" t="n">
        <v>45170</v>
      </c>
      <c r="E241" t="inlineStr">
        <is>
          <t>C001199</t>
        </is>
      </c>
      <c r="F241" s="9" t="n">
        <v>7450</v>
      </c>
      <c r="G241" t="inlineStr">
        <is>
          <t>Invoice date falls outside the linked contract</t>
        </is>
      </c>
    </row>
    <row r="242">
      <c r="A242" t="inlineStr">
        <is>
          <t>INV00000283</t>
        </is>
      </c>
      <c r="B242" t="inlineStr">
        <is>
          <t>contract_date_conflict</t>
        </is>
      </c>
      <c r="C242" t="inlineStr">
        <is>
          <t>medium</t>
        </is>
      </c>
      <c r="D242" s="14" t="n">
        <v>45200</v>
      </c>
      <c r="E242" t="inlineStr">
        <is>
          <t>C000023</t>
        </is>
      </c>
      <c r="F242" s="9" t="n">
        <v>1580</v>
      </c>
      <c r="G242" t="inlineStr">
        <is>
          <t>Invoice date falls outside the linked contract</t>
        </is>
      </c>
    </row>
    <row r="243">
      <c r="A243" t="inlineStr">
        <is>
          <t>INV00001128</t>
        </is>
      </c>
      <c r="B243" t="inlineStr">
        <is>
          <t>contract_date_conflict</t>
        </is>
      </c>
      <c r="C243" t="inlineStr">
        <is>
          <t>medium</t>
        </is>
      </c>
      <c r="D243" s="14" t="n">
        <v>45200</v>
      </c>
      <c r="E243" t="inlineStr">
        <is>
          <t>C000074</t>
        </is>
      </c>
      <c r="F243" s="9" t="n">
        <v>7375.5</v>
      </c>
      <c r="G243" t="inlineStr">
        <is>
          <t>Invoice date falls outside the linked contract</t>
        </is>
      </c>
    </row>
    <row r="244">
      <c r="A244" t="inlineStr">
        <is>
          <t>INV00001999</t>
        </is>
      </c>
      <c r="B244" t="inlineStr">
        <is>
          <t>contract_date_conflict</t>
        </is>
      </c>
      <c r="C244" t="inlineStr">
        <is>
          <t>medium</t>
        </is>
      </c>
      <c r="D244" s="14" t="n">
        <v>45200</v>
      </c>
      <c r="E244" t="inlineStr">
        <is>
          <t>C000138</t>
        </is>
      </c>
      <c r="F244" s="9" t="n">
        <v>1275.85</v>
      </c>
      <c r="G244" t="inlineStr">
        <is>
          <t>Invoice date falls outside the linked contract</t>
        </is>
      </c>
    </row>
    <row r="245">
      <c r="A245" t="inlineStr">
        <is>
          <t>INV00003081</t>
        </is>
      </c>
      <c r="B245" t="inlineStr">
        <is>
          <t>contract_date_conflict</t>
        </is>
      </c>
      <c r="C245" t="inlineStr">
        <is>
          <t>medium</t>
        </is>
      </c>
      <c r="D245" s="14" t="n">
        <v>45200</v>
      </c>
      <c r="E245" t="inlineStr">
        <is>
          <t>C000225</t>
        </is>
      </c>
      <c r="F245" s="9" t="n">
        <v>195</v>
      </c>
      <c r="G245" t="inlineStr">
        <is>
          <t>Invoice date falls outside the linked contract</t>
        </is>
      </c>
    </row>
    <row r="246">
      <c r="A246" t="inlineStr">
        <is>
          <t>INV00003108</t>
        </is>
      </c>
      <c r="B246" t="inlineStr">
        <is>
          <t>contract_date_conflict</t>
        </is>
      </c>
      <c r="C246" t="inlineStr">
        <is>
          <t>medium</t>
        </is>
      </c>
      <c r="D246" s="14" t="n">
        <v>45200</v>
      </c>
      <c r="E246" t="inlineStr">
        <is>
          <t>C000226</t>
        </is>
      </c>
      <c r="F246" s="9" t="n">
        <v>351</v>
      </c>
      <c r="G246" t="inlineStr">
        <is>
          <t>Invoice date falls outside the linked contract</t>
        </is>
      </c>
    </row>
    <row r="247">
      <c r="A247" t="inlineStr">
        <is>
          <t>INV00003856</t>
        </is>
      </c>
      <c r="B247" t="inlineStr">
        <is>
          <t>contract_date_conflict</t>
        </is>
      </c>
      <c r="C247" t="inlineStr">
        <is>
          <t>medium</t>
        </is>
      </c>
      <c r="D247" s="14" t="n">
        <v>45200</v>
      </c>
      <c r="E247" t="inlineStr">
        <is>
          <t>C000285</t>
        </is>
      </c>
      <c r="F247" s="9" t="n">
        <v>1185</v>
      </c>
      <c r="G247" t="inlineStr">
        <is>
          <t>Invoice date falls outside the linked contract</t>
        </is>
      </c>
    </row>
    <row r="248">
      <c r="A248" t="inlineStr">
        <is>
          <t>INV00004014</t>
        </is>
      </c>
      <c r="B248" t="inlineStr">
        <is>
          <t>contract_date_conflict</t>
        </is>
      </c>
      <c r="C248" t="inlineStr">
        <is>
          <t>medium</t>
        </is>
      </c>
      <c r="D248" s="14" t="n">
        <v>45200</v>
      </c>
      <c r="E248" t="inlineStr">
        <is>
          <t>C000299</t>
        </is>
      </c>
      <c r="F248" s="9" t="n">
        <v>298.35</v>
      </c>
      <c r="G248" t="inlineStr">
        <is>
          <t>Invoice date falls outside the linked contract</t>
        </is>
      </c>
    </row>
    <row r="249">
      <c r="A249" t="inlineStr">
        <is>
          <t>INV00004633</t>
        </is>
      </c>
      <c r="B249" t="inlineStr">
        <is>
          <t>contract_date_conflict</t>
        </is>
      </c>
      <c r="C249" t="inlineStr">
        <is>
          <t>medium</t>
        </is>
      </c>
      <c r="D249" s="14" t="n">
        <v>45200</v>
      </c>
      <c r="E249" t="inlineStr">
        <is>
          <t>C000343</t>
        </is>
      </c>
      <c r="F249" s="9" t="n">
        <v>210.6</v>
      </c>
      <c r="G249" t="inlineStr">
        <is>
          <t>Invoice date falls outside the linked contract</t>
        </is>
      </c>
    </row>
    <row r="250">
      <c r="A250" t="inlineStr">
        <is>
          <t>INV00004801</t>
        </is>
      </c>
      <c r="B250" t="inlineStr">
        <is>
          <t>contract_date_conflict</t>
        </is>
      </c>
      <c r="C250" t="inlineStr">
        <is>
          <t>medium</t>
        </is>
      </c>
      <c r="D250" s="14" t="n">
        <v>45200</v>
      </c>
      <c r="E250" t="inlineStr">
        <is>
          <t>C000352</t>
        </is>
      </c>
      <c r="F250" s="9" t="n">
        <v>312</v>
      </c>
      <c r="G250" t="inlineStr">
        <is>
          <t>Invoice date falls outside the linked contract</t>
        </is>
      </c>
    </row>
    <row r="251">
      <c r="A251" t="inlineStr">
        <is>
          <t>INV00005416</t>
        </is>
      </c>
      <c r="B251" t="inlineStr">
        <is>
          <t>contract_date_conflict</t>
        </is>
      </c>
      <c r="C251" t="inlineStr">
        <is>
          <t>medium</t>
        </is>
      </c>
      <c r="D251" s="14" t="n">
        <v>45200</v>
      </c>
      <c r="E251" t="inlineStr">
        <is>
          <t>C000389</t>
        </is>
      </c>
      <c r="F251" s="9" t="n">
        <v>2291</v>
      </c>
      <c r="G251" t="inlineStr">
        <is>
          <t>Invoice date falls outside the linked contract</t>
        </is>
      </c>
    </row>
    <row r="252">
      <c r="A252" t="inlineStr">
        <is>
          <t>INV00006039</t>
        </is>
      </c>
      <c r="B252" t="inlineStr">
        <is>
          <t>contract_date_conflict</t>
        </is>
      </c>
      <c r="C252" t="inlineStr">
        <is>
          <t>medium</t>
        </is>
      </c>
      <c r="D252" s="14" t="n">
        <v>45200</v>
      </c>
      <c r="E252" t="inlineStr">
        <is>
          <t>C000430</t>
        </is>
      </c>
      <c r="F252" s="9" t="n">
        <v>222.3</v>
      </c>
      <c r="G252" t="inlineStr">
        <is>
          <t>Invoice date falls outside the linked contract</t>
        </is>
      </c>
    </row>
    <row r="253">
      <c r="A253" t="inlineStr">
        <is>
          <t>INV00006346</t>
        </is>
      </c>
      <c r="B253" t="inlineStr">
        <is>
          <t>contract_date_conflict</t>
        </is>
      </c>
      <c r="C253" t="inlineStr">
        <is>
          <t>medium</t>
        </is>
      </c>
      <c r="D253" s="14" t="n">
        <v>45200</v>
      </c>
      <c r="E253" t="inlineStr">
        <is>
          <t>C000453</t>
        </is>
      </c>
      <c r="F253" s="9" t="n">
        <v>13551.55</v>
      </c>
      <c r="G253" t="inlineStr">
        <is>
          <t>Invoice date falls outside the linked contract</t>
        </is>
      </c>
    </row>
    <row r="254">
      <c r="A254" t="inlineStr">
        <is>
          <t>INV00006684</t>
        </is>
      </c>
      <c r="B254" t="inlineStr">
        <is>
          <t>contract_date_conflict</t>
        </is>
      </c>
      <c r="C254" t="inlineStr">
        <is>
          <t>medium</t>
        </is>
      </c>
      <c r="D254" s="14" t="n">
        <v>45200</v>
      </c>
      <c r="E254" t="inlineStr">
        <is>
          <t>C000476</t>
        </is>
      </c>
      <c r="F254" s="9" t="n">
        <v>1738</v>
      </c>
      <c r="G254" t="inlineStr">
        <is>
          <t>Invoice date falls outside the linked contract</t>
        </is>
      </c>
    </row>
    <row r="255">
      <c r="A255" t="inlineStr">
        <is>
          <t>INV00008438</t>
        </is>
      </c>
      <c r="B255" t="inlineStr">
        <is>
          <t>contract_date_conflict</t>
        </is>
      </c>
      <c r="C255" t="inlineStr">
        <is>
          <t>medium</t>
        </is>
      </c>
      <c r="D255" s="14" t="n">
        <v>45200</v>
      </c>
      <c r="E255" t="inlineStr">
        <is>
          <t>C000596</t>
        </is>
      </c>
      <c r="F255" s="9" t="n">
        <v>210.6</v>
      </c>
      <c r="G255" t="inlineStr">
        <is>
          <t>Invoice date falls outside the linked contract</t>
        </is>
      </c>
    </row>
    <row r="256">
      <c r="A256" t="inlineStr">
        <is>
          <t>INV00008696</t>
        </is>
      </c>
      <c r="B256" t="inlineStr">
        <is>
          <t>contract_date_conflict</t>
        </is>
      </c>
      <c r="C256" t="inlineStr">
        <is>
          <t>medium</t>
        </is>
      </c>
      <c r="D256" s="14" t="n">
        <v>45200</v>
      </c>
      <c r="E256" t="inlineStr">
        <is>
          <t>C000612</t>
        </is>
      </c>
      <c r="F256" s="9" t="n">
        <v>1580</v>
      </c>
      <c r="G256" t="inlineStr">
        <is>
          <t>Invoice date falls outside the linked contract</t>
        </is>
      </c>
    </row>
    <row r="257">
      <c r="A257" t="inlineStr">
        <is>
          <t>INV00009798</t>
        </is>
      </c>
      <c r="B257" t="inlineStr">
        <is>
          <t>contract_date_conflict</t>
        </is>
      </c>
      <c r="C257" t="inlineStr">
        <is>
          <t>medium</t>
        </is>
      </c>
      <c r="D257" s="14" t="n">
        <v>45200</v>
      </c>
      <c r="E257" t="inlineStr">
        <is>
          <t>C000692</t>
        </is>
      </c>
      <c r="F257" s="9" t="n">
        <v>7450</v>
      </c>
      <c r="G257" t="inlineStr">
        <is>
          <t>Invoice date falls outside the linked contract</t>
        </is>
      </c>
    </row>
    <row r="258">
      <c r="A258" t="inlineStr">
        <is>
          <t>INV00010445</t>
        </is>
      </c>
      <c r="B258" t="inlineStr">
        <is>
          <t>contract_date_conflict</t>
        </is>
      </c>
      <c r="C258" t="inlineStr">
        <is>
          <t>medium</t>
        </is>
      </c>
      <c r="D258" s="14" t="n">
        <v>45200</v>
      </c>
      <c r="E258" t="inlineStr">
        <is>
          <t>C000733</t>
        </is>
      </c>
      <c r="F258" s="9" t="n">
        <v>2618.85</v>
      </c>
      <c r="G258" t="inlineStr">
        <is>
          <t>Invoice date falls outside the linked contract</t>
        </is>
      </c>
    </row>
    <row r="259">
      <c r="A259" t="inlineStr">
        <is>
          <t>INV00011237</t>
        </is>
      </c>
      <c r="B259" t="inlineStr">
        <is>
          <t>contract_date_conflict</t>
        </is>
      </c>
      <c r="C259" t="inlineStr">
        <is>
          <t>medium</t>
        </is>
      </c>
      <c r="D259" s="14" t="n">
        <v>45200</v>
      </c>
      <c r="E259" t="inlineStr">
        <is>
          <t>C000791</t>
        </is>
      </c>
      <c r="F259" s="9" t="n">
        <v>315.9</v>
      </c>
      <c r="G259" t="inlineStr">
        <is>
          <t>Invoice date falls outside the linked contract</t>
        </is>
      </c>
    </row>
    <row r="260">
      <c r="A260" t="inlineStr">
        <is>
          <t>INV00011805</t>
        </is>
      </c>
      <c r="B260" t="inlineStr">
        <is>
          <t>contract_date_conflict</t>
        </is>
      </c>
      <c r="C260" t="inlineStr">
        <is>
          <t>medium</t>
        </is>
      </c>
      <c r="D260" s="14" t="n">
        <v>45200</v>
      </c>
      <c r="E260" t="inlineStr">
        <is>
          <t>C000834</t>
        </is>
      </c>
      <c r="F260" s="9" t="n">
        <v>1185</v>
      </c>
      <c r="G260" t="inlineStr">
        <is>
          <t>Invoice date falls outside the linked contract</t>
        </is>
      </c>
    </row>
    <row r="261">
      <c r="A261" t="inlineStr">
        <is>
          <t>INV00013410</t>
        </is>
      </c>
      <c r="B261" t="inlineStr">
        <is>
          <t>contract_date_conflict</t>
        </is>
      </c>
      <c r="C261" t="inlineStr">
        <is>
          <t>medium</t>
        </is>
      </c>
      <c r="D261" s="14" t="n">
        <v>45200</v>
      </c>
      <c r="E261" t="inlineStr">
        <is>
          <t>C000948</t>
        </is>
      </c>
      <c r="F261" s="9" t="n">
        <v>1501</v>
      </c>
      <c r="G261" t="inlineStr">
        <is>
          <t>Invoice date falls outside the linked contract</t>
        </is>
      </c>
    </row>
    <row r="262">
      <c r="A262" t="inlineStr">
        <is>
          <t>INV00015172</t>
        </is>
      </c>
      <c r="B262" t="inlineStr">
        <is>
          <t>contract_date_conflict</t>
        </is>
      </c>
      <c r="C262" t="inlineStr">
        <is>
          <t>medium</t>
        </is>
      </c>
      <c r="D262" s="14" t="n">
        <v>45200</v>
      </c>
      <c r="E262" t="inlineStr">
        <is>
          <t>C001060</t>
        </is>
      </c>
      <c r="F262" s="9" t="n">
        <v>195</v>
      </c>
      <c r="G262" t="inlineStr">
        <is>
          <t>Invoice date falls outside the linked contract</t>
        </is>
      </c>
    </row>
    <row r="263">
      <c r="A263" t="inlineStr">
        <is>
          <t>INV00015892</t>
        </is>
      </c>
      <c r="B263" t="inlineStr">
        <is>
          <t>contract_date_conflict</t>
        </is>
      </c>
      <c r="C263" t="inlineStr">
        <is>
          <t>medium</t>
        </is>
      </c>
      <c r="D263" s="14" t="n">
        <v>45200</v>
      </c>
      <c r="E263" t="inlineStr">
        <is>
          <t>C001102</t>
        </is>
      </c>
      <c r="F263" s="9" t="n">
        <v>273</v>
      </c>
      <c r="G263" t="inlineStr">
        <is>
          <t>Invoice date falls outside the linked contract</t>
        </is>
      </c>
    </row>
    <row r="264">
      <c r="A264" t="inlineStr">
        <is>
          <t>INV00016211</t>
        </is>
      </c>
      <c r="B264" t="inlineStr">
        <is>
          <t>contract_date_conflict</t>
        </is>
      </c>
      <c r="C264" t="inlineStr">
        <is>
          <t>medium</t>
        </is>
      </c>
      <c r="D264" s="14" t="n">
        <v>45200</v>
      </c>
      <c r="E264" t="inlineStr">
        <is>
          <t>C001131</t>
        </is>
      </c>
      <c r="F264" s="9" t="n">
        <v>1185</v>
      </c>
      <c r="G264" t="inlineStr">
        <is>
          <t>Invoice date falls outside the linked contract</t>
        </is>
      </c>
    </row>
    <row r="265">
      <c r="A265" t="inlineStr">
        <is>
          <t>INV00016371</t>
        </is>
      </c>
      <c r="B265" t="inlineStr">
        <is>
          <t>contract_date_conflict</t>
        </is>
      </c>
      <c r="C265" t="inlineStr">
        <is>
          <t>medium</t>
        </is>
      </c>
      <c r="D265" s="14" t="n">
        <v>45200</v>
      </c>
      <c r="E265" t="inlineStr">
        <is>
          <t>C001141</t>
        </is>
      </c>
      <c r="F265" s="9" t="n">
        <v>195</v>
      </c>
      <c r="G265" t="inlineStr">
        <is>
          <t>Invoice date falls outside the linked contract</t>
        </is>
      </c>
    </row>
    <row r="266">
      <c r="A266" t="inlineStr">
        <is>
          <t>INV00017135</t>
        </is>
      </c>
      <c r="B266" t="inlineStr">
        <is>
          <t>contract_date_conflict</t>
        </is>
      </c>
      <c r="C266" t="inlineStr">
        <is>
          <t>medium</t>
        </is>
      </c>
      <c r="D266" s="14" t="n">
        <v>45200</v>
      </c>
      <c r="E266" t="inlineStr">
        <is>
          <t>C001189</t>
        </is>
      </c>
      <c r="F266" s="9" t="n">
        <v>185.25</v>
      </c>
      <c r="G266" t="inlineStr">
        <is>
          <t>Invoice date falls outside the linked contract</t>
        </is>
      </c>
    </row>
    <row r="267">
      <c r="A267" t="inlineStr">
        <is>
          <t>INV00000476</t>
        </is>
      </c>
      <c r="B267" t="inlineStr">
        <is>
          <t>contract_date_conflict</t>
        </is>
      </c>
      <c r="C267" t="inlineStr">
        <is>
          <t>medium</t>
        </is>
      </c>
      <c r="D267" s="14" t="n">
        <v>45231</v>
      </c>
      <c r="E267" t="inlineStr">
        <is>
          <t>C000033</t>
        </is>
      </c>
      <c r="F267" s="9" t="n">
        <v>195</v>
      </c>
      <c r="G267" t="inlineStr">
        <is>
          <t>Invoice date falls outside the linked contract</t>
        </is>
      </c>
    </row>
    <row r="268">
      <c r="A268" t="inlineStr">
        <is>
          <t>INV00001824</t>
        </is>
      </c>
      <c r="B268" t="inlineStr">
        <is>
          <t>contract_date_conflict</t>
        </is>
      </c>
      <c r="C268" t="inlineStr">
        <is>
          <t>medium</t>
        </is>
      </c>
      <c r="D268" s="14" t="n">
        <v>45231</v>
      </c>
      <c r="E268" t="inlineStr">
        <is>
          <t>C000123</t>
        </is>
      </c>
      <c r="F268" s="9" t="n">
        <v>175.5</v>
      </c>
      <c r="G268" t="inlineStr">
        <is>
          <t>Invoice date falls outside the linked contract</t>
        </is>
      </c>
    </row>
    <row r="269">
      <c r="A269" t="inlineStr">
        <is>
          <t>INV00001850</t>
        </is>
      </c>
      <c r="B269" t="inlineStr">
        <is>
          <t>contract_date_conflict</t>
        </is>
      </c>
      <c r="C269" t="inlineStr">
        <is>
          <t>medium</t>
        </is>
      </c>
      <c r="D269" s="14" t="n">
        <v>45231</v>
      </c>
      <c r="E269" t="inlineStr">
        <is>
          <t>C000124</t>
        </is>
      </c>
      <c r="F269" s="9" t="n">
        <v>1185</v>
      </c>
      <c r="G269" t="inlineStr">
        <is>
          <t>Invoice date falls outside the linked contract</t>
        </is>
      </c>
    </row>
    <row r="270">
      <c r="A270" t="inlineStr">
        <is>
          <t>INV00003052</t>
        </is>
      </c>
      <c r="B270" t="inlineStr">
        <is>
          <t>contract_date_conflict</t>
        </is>
      </c>
      <c r="C270" t="inlineStr">
        <is>
          <t>medium</t>
        </is>
      </c>
      <c r="D270" s="14" t="n">
        <v>45231</v>
      </c>
      <c r="E270" t="inlineStr">
        <is>
          <t>C000223</t>
        </is>
      </c>
      <c r="F270" s="9" t="n">
        <v>1390.4</v>
      </c>
      <c r="G270" t="inlineStr">
        <is>
          <t>Invoice date falls outside the linked contract</t>
        </is>
      </c>
    </row>
    <row r="271">
      <c r="A271" t="inlineStr">
        <is>
          <t>INV00003215</t>
        </is>
      </c>
      <c r="B271" t="inlineStr">
        <is>
          <t>contract_date_conflict</t>
        </is>
      </c>
      <c r="C271" t="inlineStr">
        <is>
          <t>medium</t>
        </is>
      </c>
      <c r="D271" s="14" t="n">
        <v>45231</v>
      </c>
      <c r="E271" t="inlineStr">
        <is>
          <t>C000235</t>
        </is>
      </c>
      <c r="F271" s="9" t="n">
        <v>1896</v>
      </c>
      <c r="G271" t="inlineStr">
        <is>
          <t>Invoice date falls outside the linked contract</t>
        </is>
      </c>
    </row>
    <row r="272">
      <c r="A272" t="inlineStr">
        <is>
          <t>INV00003533</t>
        </is>
      </c>
      <c r="B272" t="inlineStr">
        <is>
          <t>contract_date_conflict</t>
        </is>
      </c>
      <c r="C272" t="inlineStr">
        <is>
          <t>medium</t>
        </is>
      </c>
      <c r="D272" s="14" t="n">
        <v>45231</v>
      </c>
      <c r="E272" t="inlineStr">
        <is>
          <t>C000256</t>
        </is>
      </c>
      <c r="F272" s="9" t="n">
        <v>234</v>
      </c>
      <c r="G272" t="inlineStr">
        <is>
          <t>Invoice date falls outside the linked contract</t>
        </is>
      </c>
    </row>
    <row r="273">
      <c r="A273" t="inlineStr">
        <is>
          <t>INV00003970</t>
        </is>
      </c>
      <c r="B273" t="inlineStr">
        <is>
          <t>contract_date_conflict</t>
        </is>
      </c>
      <c r="C273" t="inlineStr">
        <is>
          <t>medium</t>
        </is>
      </c>
      <c r="D273" s="14" t="n">
        <v>45231</v>
      </c>
      <c r="E273" t="inlineStr">
        <is>
          <t>C000295</t>
        </is>
      </c>
      <c r="F273" s="9" t="n">
        <v>1580</v>
      </c>
      <c r="G273" t="inlineStr">
        <is>
          <t>Invoice date falls outside the linked contract</t>
        </is>
      </c>
    </row>
    <row r="274">
      <c r="A274" t="inlineStr">
        <is>
          <t>INV00005899</t>
        </is>
      </c>
      <c r="B274" t="inlineStr">
        <is>
          <t>contract_date_conflict</t>
        </is>
      </c>
      <c r="C274" t="inlineStr">
        <is>
          <t>medium</t>
        </is>
      </c>
      <c r="D274" s="14" t="n">
        <v>45231</v>
      </c>
      <c r="E274" t="inlineStr">
        <is>
          <t>C000420</t>
        </is>
      </c>
      <c r="F274" s="9" t="n">
        <v>14453</v>
      </c>
      <c r="G274" t="inlineStr">
        <is>
          <t>Invoice date falls outside the linked contract</t>
        </is>
      </c>
    </row>
    <row r="275">
      <c r="A275" t="inlineStr">
        <is>
          <t>INV00008390</t>
        </is>
      </c>
      <c r="B275" t="inlineStr">
        <is>
          <t>contract_date_conflict</t>
        </is>
      </c>
      <c r="C275" t="inlineStr">
        <is>
          <t>medium</t>
        </is>
      </c>
      <c r="D275" s="14" t="n">
        <v>45231</v>
      </c>
      <c r="E275" t="inlineStr">
        <is>
          <t>C000594</t>
        </is>
      </c>
      <c r="F275" s="9" t="n">
        <v>259.35</v>
      </c>
      <c r="G275" t="inlineStr">
        <is>
          <t>Invoice date falls outside the linked contract</t>
        </is>
      </c>
    </row>
    <row r="276">
      <c r="A276" t="inlineStr">
        <is>
          <t>INV00010022</t>
        </is>
      </c>
      <c r="B276" t="inlineStr">
        <is>
          <t>contract_date_conflict</t>
        </is>
      </c>
      <c r="C276" t="inlineStr">
        <is>
          <t>medium</t>
        </is>
      </c>
      <c r="D276" s="14" t="n">
        <v>45231</v>
      </c>
      <c r="E276" t="inlineStr">
        <is>
          <t>C000706</t>
        </is>
      </c>
      <c r="F276" s="9" t="n">
        <v>1185</v>
      </c>
      <c r="G276" t="inlineStr">
        <is>
          <t>Invoice date falls outside the linked contract</t>
        </is>
      </c>
    </row>
    <row r="277">
      <c r="A277" t="inlineStr">
        <is>
          <t>INV00010373</t>
        </is>
      </c>
      <c r="B277" t="inlineStr">
        <is>
          <t>contract_date_conflict</t>
        </is>
      </c>
      <c r="C277" t="inlineStr">
        <is>
          <t>medium</t>
        </is>
      </c>
      <c r="D277" s="14" t="n">
        <v>45231</v>
      </c>
      <c r="E277" t="inlineStr">
        <is>
          <t>C000729</t>
        </is>
      </c>
      <c r="F277" s="9" t="n">
        <v>1137.6</v>
      </c>
      <c r="G277" t="inlineStr">
        <is>
          <t>Invoice date falls outside the linked contract</t>
        </is>
      </c>
    </row>
    <row r="278">
      <c r="A278" t="inlineStr">
        <is>
          <t>INV00011264</t>
        </is>
      </c>
      <c r="B278" t="inlineStr">
        <is>
          <t>contract_date_conflict</t>
        </is>
      </c>
      <c r="C278" t="inlineStr">
        <is>
          <t>medium</t>
        </is>
      </c>
      <c r="D278" s="14" t="n">
        <v>45231</v>
      </c>
      <c r="E278" t="inlineStr">
        <is>
          <t>C000792</t>
        </is>
      </c>
      <c r="F278" s="9" t="n">
        <v>1343</v>
      </c>
      <c r="G278" t="inlineStr">
        <is>
          <t>Invoice date falls outside the linked contract</t>
        </is>
      </c>
    </row>
    <row r="279">
      <c r="A279" t="inlineStr">
        <is>
          <t>INV00013570</t>
        </is>
      </c>
      <c r="B279" t="inlineStr">
        <is>
          <t>contract_date_conflict</t>
        </is>
      </c>
      <c r="C279" t="inlineStr">
        <is>
          <t>medium</t>
        </is>
      </c>
      <c r="D279" s="14" t="n">
        <v>45231</v>
      </c>
      <c r="E279" t="inlineStr">
        <is>
          <t>C000956</t>
        </is>
      </c>
      <c r="F279" s="9" t="n">
        <v>165.75</v>
      </c>
      <c r="G279" t="inlineStr">
        <is>
          <t>Invoice date falls outside the linked contract</t>
        </is>
      </c>
    </row>
    <row r="280">
      <c r="A280" t="inlineStr">
        <is>
          <t>INV00013703</t>
        </is>
      </c>
      <c r="B280" t="inlineStr">
        <is>
          <t>contract_date_conflict</t>
        </is>
      </c>
      <c r="C280" t="inlineStr">
        <is>
          <t>medium</t>
        </is>
      </c>
      <c r="D280" s="14" t="n">
        <v>45231</v>
      </c>
      <c r="E280" t="inlineStr">
        <is>
          <t>C000968</t>
        </is>
      </c>
      <c r="F280" s="9" t="n">
        <v>273</v>
      </c>
      <c r="G280" t="inlineStr">
        <is>
          <t>Invoice date falls outside the linked contract</t>
        </is>
      </c>
    </row>
    <row r="281">
      <c r="A281" t="inlineStr">
        <is>
          <t>INV00014401</t>
        </is>
      </c>
      <c r="B281" t="inlineStr">
        <is>
          <t>contract_date_conflict</t>
        </is>
      </c>
      <c r="C281" t="inlineStr">
        <is>
          <t>medium</t>
        </is>
      </c>
      <c r="D281" s="14" t="n">
        <v>45231</v>
      </c>
      <c r="E281" t="inlineStr">
        <is>
          <t>C001009</t>
        </is>
      </c>
      <c r="F281" s="9" t="n">
        <v>1422</v>
      </c>
      <c r="G281" t="inlineStr">
        <is>
          <t>Invoice date falls outside the linked contract</t>
        </is>
      </c>
    </row>
    <row r="282">
      <c r="A282" t="inlineStr">
        <is>
          <t>INV00001446</t>
        </is>
      </c>
      <c r="B282" t="inlineStr">
        <is>
          <t>contract_date_conflict</t>
        </is>
      </c>
      <c r="C282" t="inlineStr">
        <is>
          <t>medium</t>
        </is>
      </c>
      <c r="D282" s="14" t="n">
        <v>45261</v>
      </c>
      <c r="E282" t="inlineStr">
        <is>
          <t>C000095</t>
        </is>
      </c>
      <c r="F282" s="9" t="n">
        <v>1279.8</v>
      </c>
      <c r="G282" t="inlineStr">
        <is>
          <t>Invoice date falls outside the linked contract</t>
        </is>
      </c>
    </row>
    <row r="283">
      <c r="A283" t="inlineStr">
        <is>
          <t>INV00002144</t>
        </is>
      </c>
      <c r="B283" t="inlineStr">
        <is>
          <t>contract_date_conflict</t>
        </is>
      </c>
      <c r="C283" t="inlineStr">
        <is>
          <t>medium</t>
        </is>
      </c>
      <c r="D283" s="14" t="n">
        <v>45261</v>
      </c>
      <c r="E283" t="inlineStr">
        <is>
          <t>C000151</t>
        </is>
      </c>
      <c r="F283" s="9" t="n">
        <v>1343</v>
      </c>
      <c r="G283" t="inlineStr">
        <is>
          <t>Invoice date falls outside the linked contract</t>
        </is>
      </c>
    </row>
    <row r="284">
      <c r="A284" t="inlineStr">
        <is>
          <t>INV00002352</t>
        </is>
      </c>
      <c r="B284" t="inlineStr">
        <is>
          <t>contract_date_conflict</t>
        </is>
      </c>
      <c r="C284" t="inlineStr">
        <is>
          <t>medium</t>
        </is>
      </c>
      <c r="D284" s="14" t="n">
        <v>45261</v>
      </c>
      <c r="E284" t="inlineStr">
        <is>
          <t>C000167</t>
        </is>
      </c>
      <c r="F284" s="9" t="n">
        <v>185.25</v>
      </c>
      <c r="G284" t="inlineStr">
        <is>
          <t>Invoice date falls outside the linked contract</t>
        </is>
      </c>
    </row>
    <row r="285">
      <c r="A285" t="inlineStr">
        <is>
          <t>INV00003027</t>
        </is>
      </c>
      <c r="B285" t="inlineStr">
        <is>
          <t>contract_date_conflict</t>
        </is>
      </c>
      <c r="C285" t="inlineStr">
        <is>
          <t>medium</t>
        </is>
      </c>
      <c r="D285" s="14" t="n">
        <v>45261</v>
      </c>
      <c r="E285" t="inlineStr">
        <is>
          <t>C000222</t>
        </is>
      </c>
      <c r="F285" s="9" t="n">
        <v>195</v>
      </c>
      <c r="G285" t="inlineStr">
        <is>
          <t>Invoice date falls outside the linked contract</t>
        </is>
      </c>
    </row>
    <row r="286">
      <c r="A286" t="inlineStr">
        <is>
          <t>INV00003473</t>
        </is>
      </c>
      <c r="B286" t="inlineStr">
        <is>
          <t>contract_date_conflict</t>
        </is>
      </c>
      <c r="C286" t="inlineStr">
        <is>
          <t>medium</t>
        </is>
      </c>
      <c r="D286" s="14" t="n">
        <v>45261</v>
      </c>
      <c r="E286" t="inlineStr">
        <is>
          <t>C000252</t>
        </is>
      </c>
      <c r="F286" s="9" t="n">
        <v>6705</v>
      </c>
      <c r="G286" t="inlineStr">
        <is>
          <t>Invoice date falls outside the linked contract</t>
        </is>
      </c>
    </row>
    <row r="287">
      <c r="A287" t="inlineStr">
        <is>
          <t>INV00004411</t>
        </is>
      </c>
      <c r="B287" t="inlineStr">
        <is>
          <t>contract_date_conflict</t>
        </is>
      </c>
      <c r="C287" t="inlineStr">
        <is>
          <t>medium</t>
        </is>
      </c>
      <c r="D287" s="14" t="n">
        <v>45261</v>
      </c>
      <c r="E287" t="inlineStr">
        <is>
          <t>C000330</t>
        </is>
      </c>
      <c r="F287" s="9" t="n">
        <v>2765</v>
      </c>
      <c r="G287" t="inlineStr">
        <is>
          <t>Invoice date falls outside the linked contract</t>
        </is>
      </c>
    </row>
    <row r="288">
      <c r="A288" t="inlineStr">
        <is>
          <t>INV00004575</t>
        </is>
      </c>
      <c r="B288" t="inlineStr">
        <is>
          <t>contract_date_conflict</t>
        </is>
      </c>
      <c r="C288" t="inlineStr">
        <is>
          <t>medium</t>
        </is>
      </c>
      <c r="D288" s="14" t="n">
        <v>45261</v>
      </c>
      <c r="E288" t="inlineStr">
        <is>
          <t>C000341</t>
        </is>
      </c>
      <c r="F288" s="9" t="n">
        <v>1264</v>
      </c>
      <c r="G288" t="inlineStr">
        <is>
          <t>Invoice date falls outside the linked contract</t>
        </is>
      </c>
    </row>
    <row r="289">
      <c r="A289" t="inlineStr">
        <is>
          <t>INV00005039</t>
        </is>
      </c>
      <c r="B289" t="inlineStr">
        <is>
          <t>contract_date_conflict</t>
        </is>
      </c>
      <c r="C289" t="inlineStr">
        <is>
          <t>medium</t>
        </is>
      </c>
      <c r="D289" s="14" t="n">
        <v>45261</v>
      </c>
      <c r="E289" t="inlineStr">
        <is>
          <t>C000364</t>
        </is>
      </c>
      <c r="F289" s="9" t="n">
        <v>222.3</v>
      </c>
      <c r="G289" t="inlineStr">
        <is>
          <t>Invoice date falls outside the linked contract</t>
        </is>
      </c>
    </row>
    <row r="290">
      <c r="A290" t="inlineStr">
        <is>
          <t>INV00005195</t>
        </is>
      </c>
      <c r="B290" t="inlineStr">
        <is>
          <t>contract_date_conflict</t>
        </is>
      </c>
      <c r="C290" t="inlineStr">
        <is>
          <t>medium</t>
        </is>
      </c>
      <c r="D290" s="14" t="n">
        <v>45261</v>
      </c>
      <c r="E290" t="inlineStr">
        <is>
          <t>C000377</t>
        </is>
      </c>
      <c r="F290" s="9" t="n">
        <v>1876.25</v>
      </c>
      <c r="G290" t="inlineStr">
        <is>
          <t>Invoice date falls outside the linked contract</t>
        </is>
      </c>
    </row>
    <row r="291">
      <c r="A291" t="inlineStr">
        <is>
          <t>INV00005220</t>
        </is>
      </c>
      <c r="B291" t="inlineStr">
        <is>
          <t>contract_date_conflict</t>
        </is>
      </c>
      <c r="C291" t="inlineStr">
        <is>
          <t>medium</t>
        </is>
      </c>
      <c r="D291" s="14" t="n">
        <v>45261</v>
      </c>
      <c r="E291" t="inlineStr">
        <is>
          <t>C000378</t>
        </is>
      </c>
      <c r="F291" s="9" t="n">
        <v>1007.25</v>
      </c>
      <c r="G291" t="inlineStr">
        <is>
          <t>Invoice date falls outside the linked contract</t>
        </is>
      </c>
    </row>
    <row r="292">
      <c r="A292" t="inlineStr">
        <is>
          <t>INV00005583</t>
        </is>
      </c>
      <c r="B292" t="inlineStr">
        <is>
          <t>contract_date_conflict</t>
        </is>
      </c>
      <c r="C292" t="inlineStr">
        <is>
          <t>medium</t>
        </is>
      </c>
      <c r="D292" s="14" t="n">
        <v>45261</v>
      </c>
      <c r="E292" t="inlineStr">
        <is>
          <t>C000400</t>
        </is>
      </c>
      <c r="F292" s="9" t="n">
        <v>185.25</v>
      </c>
      <c r="G292" t="inlineStr">
        <is>
          <t>Invoice date falls outside the linked contract</t>
        </is>
      </c>
    </row>
    <row r="293">
      <c r="A293" t="inlineStr">
        <is>
          <t>INV00005760</t>
        </is>
      </c>
      <c r="B293" t="inlineStr">
        <is>
          <t>contract_date_conflict</t>
        </is>
      </c>
      <c r="C293" t="inlineStr">
        <is>
          <t>medium</t>
        </is>
      </c>
      <c r="D293" s="14" t="n">
        <v>45261</v>
      </c>
      <c r="E293" t="inlineStr">
        <is>
          <t>C000409</t>
        </is>
      </c>
      <c r="F293" s="9" t="n">
        <v>234</v>
      </c>
      <c r="G293" t="inlineStr">
        <is>
          <t>Invoice date falls outside the linked contract</t>
        </is>
      </c>
    </row>
    <row r="294">
      <c r="A294" t="inlineStr">
        <is>
          <t>INV00010586</t>
        </is>
      </c>
      <c r="B294" t="inlineStr">
        <is>
          <t>contract_date_conflict</t>
        </is>
      </c>
      <c r="C294" t="inlineStr">
        <is>
          <t>medium</t>
        </is>
      </c>
      <c r="D294" s="14" t="n">
        <v>45261</v>
      </c>
      <c r="E294" t="inlineStr">
        <is>
          <t>C000741</t>
        </is>
      </c>
      <c r="F294" s="9" t="n">
        <v>273</v>
      </c>
      <c r="G294" t="inlineStr">
        <is>
          <t>Invoice date falls outside the linked contract</t>
        </is>
      </c>
    </row>
    <row r="295">
      <c r="A295" t="inlineStr">
        <is>
          <t>INV00010742</t>
        </is>
      </c>
      <c r="B295" t="inlineStr">
        <is>
          <t>contract_date_conflict</t>
        </is>
      </c>
      <c r="C295" t="inlineStr">
        <is>
          <t>medium</t>
        </is>
      </c>
      <c r="D295" s="14" t="n">
        <v>45261</v>
      </c>
      <c r="E295" t="inlineStr">
        <is>
          <t>C000754</t>
        </is>
      </c>
      <c r="F295" s="9" t="n">
        <v>210.6</v>
      </c>
      <c r="G295" t="inlineStr">
        <is>
          <t>Invoice date falls outside the linked contract</t>
        </is>
      </c>
    </row>
    <row r="296">
      <c r="A296" t="inlineStr">
        <is>
          <t>INV00011141</t>
        </is>
      </c>
      <c r="B296" t="inlineStr">
        <is>
          <t>contract_date_conflict</t>
        </is>
      </c>
      <c r="C296" t="inlineStr">
        <is>
          <t>medium</t>
        </is>
      </c>
      <c r="D296" s="14" t="n">
        <v>45261</v>
      </c>
      <c r="E296" t="inlineStr">
        <is>
          <t>C000784</t>
        </is>
      </c>
      <c r="F296" s="9" t="n">
        <v>1208.7</v>
      </c>
      <c r="G296" t="inlineStr">
        <is>
          <t>Invoice date falls outside the linked contract</t>
        </is>
      </c>
    </row>
    <row r="297">
      <c r="A297" t="inlineStr">
        <is>
          <t>INV00011470</t>
        </is>
      </c>
      <c r="B297" t="inlineStr">
        <is>
          <t>contract_date_conflict</t>
        </is>
      </c>
      <c r="C297" t="inlineStr">
        <is>
          <t>medium</t>
        </is>
      </c>
      <c r="D297" s="14" t="n">
        <v>45261</v>
      </c>
      <c r="E297" t="inlineStr">
        <is>
          <t>C000807</t>
        </is>
      </c>
      <c r="F297" s="9" t="n">
        <v>1659</v>
      </c>
      <c r="G297" t="inlineStr">
        <is>
          <t>Invoice date falls outside the linked contract</t>
        </is>
      </c>
    </row>
    <row r="298">
      <c r="A298" t="inlineStr">
        <is>
          <t>INV00012364</t>
        </is>
      </c>
      <c r="B298" t="inlineStr">
        <is>
          <t>contract_date_conflict</t>
        </is>
      </c>
      <c r="C298" t="inlineStr">
        <is>
          <t>medium</t>
        </is>
      </c>
      <c r="D298" s="14" t="n">
        <v>45261</v>
      </c>
      <c r="E298" t="inlineStr">
        <is>
          <t>C000873</t>
        </is>
      </c>
      <c r="F298" s="9" t="n">
        <v>1738</v>
      </c>
      <c r="G298" t="inlineStr">
        <is>
          <t>Invoice date falls outside the linked contract</t>
        </is>
      </c>
    </row>
    <row r="299">
      <c r="A299" t="inlineStr">
        <is>
          <t>INV00012420</t>
        </is>
      </c>
      <c r="B299" t="inlineStr">
        <is>
          <t>contract_date_conflict</t>
        </is>
      </c>
      <c r="C299" t="inlineStr">
        <is>
          <t>medium</t>
        </is>
      </c>
      <c r="D299" s="14" t="n">
        <v>45261</v>
      </c>
      <c r="E299" t="inlineStr">
        <is>
          <t>C000876</t>
        </is>
      </c>
      <c r="F299" s="9" t="n">
        <v>1501</v>
      </c>
      <c r="G299" t="inlineStr">
        <is>
          <t>Invoice date falls outside the linked contract</t>
        </is>
      </c>
    </row>
    <row r="300">
      <c r="A300" t="inlineStr">
        <is>
          <t>INV00013047</t>
        </is>
      </c>
      <c r="B300" t="inlineStr">
        <is>
          <t>contract_date_conflict</t>
        </is>
      </c>
      <c r="C300" t="inlineStr">
        <is>
          <t>medium</t>
        </is>
      </c>
      <c r="D300" s="14" t="n">
        <v>45261</v>
      </c>
      <c r="E300" t="inlineStr">
        <is>
          <t>C000915</t>
        </is>
      </c>
      <c r="F300" s="9" t="n">
        <v>185.25</v>
      </c>
      <c r="G300" t="inlineStr">
        <is>
          <t>Invoice date falls outside the linked contract</t>
        </is>
      </c>
    </row>
    <row r="301">
      <c r="A301" t="inlineStr">
        <is>
          <t>INV00013204</t>
        </is>
      </c>
      <c r="B301" t="inlineStr">
        <is>
          <t>contract_date_conflict</t>
        </is>
      </c>
      <c r="C301" t="inlineStr">
        <is>
          <t>medium</t>
        </is>
      </c>
      <c r="D301" s="14" t="n">
        <v>45261</v>
      </c>
      <c r="E301" t="inlineStr">
        <is>
          <t>C000927</t>
        </is>
      </c>
      <c r="F301" s="9" t="n">
        <v>234</v>
      </c>
      <c r="G301" t="inlineStr">
        <is>
          <t>Invoice date falls outside the linked contract</t>
        </is>
      </c>
    </row>
    <row r="302">
      <c r="A302" t="inlineStr">
        <is>
          <t>INV00013662</t>
        </is>
      </c>
      <c r="B302" t="inlineStr">
        <is>
          <t>contract_date_conflict</t>
        </is>
      </c>
      <c r="C302" t="inlineStr">
        <is>
          <t>medium</t>
        </is>
      </c>
      <c r="D302" s="14" t="n">
        <v>45261</v>
      </c>
      <c r="E302" t="inlineStr">
        <is>
          <t>C000965</t>
        </is>
      </c>
      <c r="F302" s="9" t="n">
        <v>2528</v>
      </c>
      <c r="G302" t="inlineStr">
        <is>
          <t>Invoice date falls outside the linked contract</t>
        </is>
      </c>
    </row>
    <row r="303">
      <c r="A303" t="inlineStr">
        <is>
          <t>INV00014182</t>
        </is>
      </c>
      <c r="B303" t="inlineStr">
        <is>
          <t>contract_date_conflict</t>
        </is>
      </c>
      <c r="C303" t="inlineStr">
        <is>
          <t>medium</t>
        </is>
      </c>
      <c r="D303" s="14" t="n">
        <v>45261</v>
      </c>
      <c r="E303" t="inlineStr">
        <is>
          <t>C000997</t>
        </is>
      </c>
      <c r="F303" s="9" t="n">
        <v>249.6</v>
      </c>
      <c r="G303" t="inlineStr">
        <is>
          <t>Invoice date falls outside the linked contract</t>
        </is>
      </c>
    </row>
    <row r="304">
      <c r="A304" t="inlineStr">
        <is>
          <t>INV00014295</t>
        </is>
      </c>
      <c r="B304" t="inlineStr">
        <is>
          <t>contract_date_conflict</t>
        </is>
      </c>
      <c r="C304" t="inlineStr">
        <is>
          <t>medium</t>
        </is>
      </c>
      <c r="D304" s="14" t="n">
        <v>45261</v>
      </c>
      <c r="E304" t="inlineStr">
        <is>
          <t>C001004</t>
        </is>
      </c>
      <c r="F304" s="9" t="n">
        <v>1651.1</v>
      </c>
      <c r="G304" t="inlineStr">
        <is>
          <t>Invoice date falls outside the linked contract</t>
        </is>
      </c>
    </row>
    <row r="305">
      <c r="A305" t="inlineStr">
        <is>
          <t>INV00014866</t>
        </is>
      </c>
      <c r="B305" t="inlineStr">
        <is>
          <t>contract_date_conflict</t>
        </is>
      </c>
      <c r="C305" t="inlineStr">
        <is>
          <t>medium</t>
        </is>
      </c>
      <c r="D305" s="14" t="n">
        <v>45261</v>
      </c>
      <c r="E305" t="inlineStr">
        <is>
          <t>C001040</t>
        </is>
      </c>
      <c r="F305" s="9" t="n">
        <v>1738</v>
      </c>
      <c r="G305" t="inlineStr">
        <is>
          <t>Invoice date falls outside the linked contract</t>
        </is>
      </c>
    </row>
    <row r="306">
      <c r="A306" t="inlineStr">
        <is>
          <t>INV00016575</t>
        </is>
      </c>
      <c r="B306" t="inlineStr">
        <is>
          <t>contract_date_conflict</t>
        </is>
      </c>
      <c r="C306" t="inlineStr">
        <is>
          <t>medium</t>
        </is>
      </c>
      <c r="D306" s="14" t="n">
        <v>45261</v>
      </c>
      <c r="E306" t="inlineStr">
        <is>
          <t>C001154</t>
        </is>
      </c>
      <c r="F306" s="9" t="n">
        <v>273</v>
      </c>
      <c r="G306" t="inlineStr">
        <is>
          <t>Invoice date falls outside the linked contract</t>
        </is>
      </c>
    </row>
    <row r="307">
      <c r="A307" t="inlineStr">
        <is>
          <t>INV00016758</t>
        </is>
      </c>
      <c r="B307" t="inlineStr">
        <is>
          <t>contract_date_conflict</t>
        </is>
      </c>
      <c r="C307" t="inlineStr">
        <is>
          <t>medium</t>
        </is>
      </c>
      <c r="D307" s="14" t="n">
        <v>45261</v>
      </c>
      <c r="E307" t="inlineStr">
        <is>
          <t>C001165</t>
        </is>
      </c>
      <c r="F307" s="9" t="n">
        <v>234</v>
      </c>
      <c r="G307" t="inlineStr">
        <is>
          <t>Invoice date falls outside the linked contract</t>
        </is>
      </c>
    </row>
    <row r="308">
      <c r="A308" t="inlineStr">
        <is>
          <t>INV00016783</t>
        </is>
      </c>
      <c r="B308" t="inlineStr">
        <is>
          <t>contract_date_conflict</t>
        </is>
      </c>
      <c r="C308" t="inlineStr">
        <is>
          <t>medium</t>
        </is>
      </c>
      <c r="D308" s="14" t="n">
        <v>45261</v>
      </c>
      <c r="E308" t="inlineStr">
        <is>
          <t>C001166</t>
        </is>
      </c>
      <c r="F308" s="9" t="n">
        <v>312</v>
      </c>
      <c r="G308" t="inlineStr">
        <is>
          <t>Invoice date falls outside the linked contract</t>
        </is>
      </c>
    </row>
    <row r="309">
      <c r="A309" t="inlineStr">
        <is>
          <t>INV00002463</t>
        </is>
      </c>
      <c r="B309" t="inlineStr">
        <is>
          <t>contract_date_conflict</t>
        </is>
      </c>
      <c r="C309" t="inlineStr">
        <is>
          <t>medium</t>
        </is>
      </c>
      <c r="D309" s="14" t="n">
        <v>45292</v>
      </c>
      <c r="E309" t="inlineStr">
        <is>
          <t>C000173</t>
        </is>
      </c>
      <c r="F309" s="9" t="n">
        <v>273</v>
      </c>
      <c r="G309" t="inlineStr">
        <is>
          <t>Invoice date falls outside the linked contract</t>
        </is>
      </c>
    </row>
    <row r="310">
      <c r="A310" t="inlineStr">
        <is>
          <t>INV00002487</t>
        </is>
      </c>
      <c r="B310" t="inlineStr">
        <is>
          <t>contract_date_conflict</t>
        </is>
      </c>
      <c r="C310" t="inlineStr">
        <is>
          <t>medium</t>
        </is>
      </c>
      <c r="D310" s="14" t="n">
        <v>45292</v>
      </c>
      <c r="E310" t="inlineStr">
        <is>
          <t>C000174</t>
        </is>
      </c>
      <c r="F310" s="9" t="n">
        <v>210.6</v>
      </c>
      <c r="G310" t="inlineStr">
        <is>
          <t>Invoice date falls outside the linked contract</t>
        </is>
      </c>
    </row>
    <row r="311">
      <c r="A311" t="inlineStr">
        <is>
          <t>INV00002646</t>
        </is>
      </c>
      <c r="B311" t="inlineStr">
        <is>
          <t>contract_date_conflict</t>
        </is>
      </c>
      <c r="C311" t="inlineStr">
        <is>
          <t>medium</t>
        </is>
      </c>
      <c r="D311" s="14" t="n">
        <v>45292</v>
      </c>
      <c r="E311" t="inlineStr">
        <is>
          <t>C000189</t>
        </is>
      </c>
      <c r="F311" s="9" t="n">
        <v>3081</v>
      </c>
      <c r="G311" t="inlineStr">
        <is>
          <t>Invoice date falls outside the linked contract</t>
        </is>
      </c>
    </row>
    <row r="312">
      <c r="A312" t="inlineStr">
        <is>
          <t>INV00003133</t>
        </is>
      </c>
      <c r="B312" t="inlineStr">
        <is>
          <t>contract_date_conflict</t>
        </is>
      </c>
      <c r="C312" t="inlineStr">
        <is>
          <t>medium</t>
        </is>
      </c>
      <c r="D312" s="14" t="n">
        <v>45292</v>
      </c>
      <c r="E312" t="inlineStr">
        <is>
          <t>C000228</t>
        </is>
      </c>
      <c r="F312" s="9" t="n">
        <v>234</v>
      </c>
      <c r="G312" t="inlineStr">
        <is>
          <t>Invoice date falls outside the linked contract</t>
        </is>
      </c>
    </row>
    <row r="313">
      <c r="A313" t="inlineStr">
        <is>
          <t>INV00003145</t>
        </is>
      </c>
      <c r="B313" t="inlineStr">
        <is>
          <t>contract_date_conflict</t>
        </is>
      </c>
      <c r="C313" t="inlineStr">
        <is>
          <t>medium</t>
        </is>
      </c>
      <c r="D313" s="14" t="n">
        <v>45292</v>
      </c>
      <c r="E313" t="inlineStr">
        <is>
          <t>C000229</t>
        </is>
      </c>
      <c r="F313" s="9" t="n">
        <v>8791</v>
      </c>
      <c r="G313" t="inlineStr">
        <is>
          <t>Invoice date falls outside the linked contract</t>
        </is>
      </c>
    </row>
    <row r="314">
      <c r="A314" t="inlineStr">
        <is>
          <t>INV00003272</t>
        </is>
      </c>
      <c r="B314" t="inlineStr">
        <is>
          <t>contract_date_conflict</t>
        </is>
      </c>
      <c r="C314" t="inlineStr">
        <is>
          <t>medium</t>
        </is>
      </c>
      <c r="D314" s="14" t="n">
        <v>45292</v>
      </c>
      <c r="E314" t="inlineStr">
        <is>
          <t>C000239</t>
        </is>
      </c>
      <c r="F314" s="9" t="n">
        <v>195</v>
      </c>
      <c r="G314" t="inlineStr">
        <is>
          <t>Invoice date falls outside the linked contract</t>
        </is>
      </c>
    </row>
    <row r="315">
      <c r="A315" t="inlineStr">
        <is>
          <t>INV00003331</t>
        </is>
      </c>
      <c r="B315" t="inlineStr">
        <is>
          <t>contract_date_conflict</t>
        </is>
      </c>
      <c r="C315" t="inlineStr">
        <is>
          <t>medium</t>
        </is>
      </c>
      <c r="D315" s="14" t="n">
        <v>45292</v>
      </c>
      <c r="E315" t="inlineStr">
        <is>
          <t>C000242</t>
        </is>
      </c>
      <c r="F315" s="9" t="n">
        <v>195</v>
      </c>
      <c r="G315" t="inlineStr">
        <is>
          <t>Invoice date falls outside the linked contract</t>
        </is>
      </c>
    </row>
    <row r="316">
      <c r="A316" t="inlineStr">
        <is>
          <t>INV00003509</t>
        </is>
      </c>
      <c r="B316" t="inlineStr">
        <is>
          <t>contract_date_conflict</t>
        </is>
      </c>
      <c r="C316" t="inlineStr">
        <is>
          <t>medium</t>
        </is>
      </c>
      <c r="D316" s="14" t="n">
        <v>45292</v>
      </c>
      <c r="E316" t="inlineStr">
        <is>
          <t>C000255</t>
        </is>
      </c>
      <c r="F316" s="9" t="n">
        <v>456.3</v>
      </c>
      <c r="G316" t="inlineStr">
        <is>
          <t>Invoice date falls outside the linked contract</t>
        </is>
      </c>
    </row>
    <row r="317">
      <c r="A317" t="inlineStr">
        <is>
          <t>INV00004041</t>
        </is>
      </c>
      <c r="B317" t="inlineStr">
        <is>
          <t>contract_date_conflict</t>
        </is>
      </c>
      <c r="C317" t="inlineStr">
        <is>
          <t>medium</t>
        </is>
      </c>
      <c r="D317" s="14" t="n">
        <v>45292</v>
      </c>
      <c r="E317" t="inlineStr">
        <is>
          <t>C000300</t>
        </is>
      </c>
      <c r="F317" s="9" t="n">
        <v>185.25</v>
      </c>
      <c r="G317" t="inlineStr">
        <is>
          <t>Invoice date falls outside the linked contract</t>
        </is>
      </c>
    </row>
    <row r="318">
      <c r="A318" t="inlineStr">
        <is>
          <t>INV00004227</t>
        </is>
      </c>
      <c r="B318" t="inlineStr">
        <is>
          <t>contract_date_conflict</t>
        </is>
      </c>
      <c r="C318" t="inlineStr">
        <is>
          <t>medium</t>
        </is>
      </c>
      <c r="D318" s="14" t="n">
        <v>45292</v>
      </c>
      <c r="E318" t="inlineStr">
        <is>
          <t>C000315</t>
        </is>
      </c>
      <c r="F318" s="9" t="n">
        <v>13708</v>
      </c>
      <c r="G318" t="inlineStr">
        <is>
          <t>Invoice date falls outside the linked contract</t>
        </is>
      </c>
    </row>
    <row r="319">
      <c r="A319" t="inlineStr">
        <is>
          <t>INV00004512</t>
        </is>
      </c>
      <c r="B319" t="inlineStr">
        <is>
          <t>contract_date_conflict</t>
        </is>
      </c>
      <c r="C319" t="inlineStr">
        <is>
          <t>medium</t>
        </is>
      </c>
      <c r="D319" s="14" t="n">
        <v>45292</v>
      </c>
      <c r="E319" t="inlineStr">
        <is>
          <t>C000338</t>
        </is>
      </c>
      <c r="F319" s="9" t="n">
        <v>1501</v>
      </c>
      <c r="G319" t="inlineStr">
        <is>
          <t>Invoice date falls outside the linked contract</t>
        </is>
      </c>
    </row>
    <row r="320">
      <c r="A320" t="inlineStr">
        <is>
          <t>INV00005664</t>
        </is>
      </c>
      <c r="B320" t="inlineStr">
        <is>
          <t>contract_date_conflict</t>
        </is>
      </c>
      <c r="C320" t="inlineStr">
        <is>
          <t>medium</t>
        </is>
      </c>
      <c r="D320" s="14" t="n">
        <v>45292</v>
      </c>
      <c r="E320" t="inlineStr">
        <is>
          <t>C000404</t>
        </is>
      </c>
      <c r="F320" s="9" t="n">
        <v>1896</v>
      </c>
      <c r="G320" t="inlineStr">
        <is>
          <t>Invoice date falls outside the linked contract</t>
        </is>
      </c>
    </row>
    <row r="321">
      <c r="A321" t="inlineStr">
        <is>
          <t>INV00006086</t>
        </is>
      </c>
      <c r="B321" t="inlineStr">
        <is>
          <t>contract_date_conflict</t>
        </is>
      </c>
      <c r="C321" t="inlineStr">
        <is>
          <t>medium</t>
        </is>
      </c>
      <c r="D321" s="14" t="n">
        <v>45292</v>
      </c>
      <c r="E321" t="inlineStr">
        <is>
          <t>C000432</t>
        </is>
      </c>
      <c r="F321" s="9" t="n">
        <v>1848.6</v>
      </c>
      <c r="G321" t="inlineStr">
        <is>
          <t>Invoice date falls outside the linked contract</t>
        </is>
      </c>
    </row>
    <row r="322">
      <c r="A322" t="inlineStr">
        <is>
          <t>INV00006796</t>
        </is>
      </c>
      <c r="B322" t="inlineStr">
        <is>
          <t>contract_date_conflict</t>
        </is>
      </c>
      <c r="C322" t="inlineStr">
        <is>
          <t>medium</t>
        </is>
      </c>
      <c r="D322" s="14" t="n">
        <v>45292</v>
      </c>
      <c r="E322" t="inlineStr">
        <is>
          <t>C000483</t>
        </is>
      </c>
      <c r="F322" s="9" t="n">
        <v>195</v>
      </c>
      <c r="G322" t="inlineStr">
        <is>
          <t>Invoice date falls outside the linked contract</t>
        </is>
      </c>
    </row>
    <row r="323">
      <c r="A323" t="inlineStr">
        <is>
          <t>INV00007402</t>
        </is>
      </c>
      <c r="B323" t="inlineStr">
        <is>
          <t>contract_date_conflict</t>
        </is>
      </c>
      <c r="C323" t="inlineStr">
        <is>
          <t>medium</t>
        </is>
      </c>
      <c r="D323" s="14" t="n">
        <v>45292</v>
      </c>
      <c r="E323" t="inlineStr">
        <is>
          <t>C000520</t>
        </is>
      </c>
      <c r="F323" s="9" t="n">
        <v>175.5</v>
      </c>
      <c r="G323" t="inlineStr">
        <is>
          <t>Invoice date falls outside the linked contract</t>
        </is>
      </c>
    </row>
    <row r="324">
      <c r="A324" t="inlineStr">
        <is>
          <t>INV00008233</t>
        </is>
      </c>
      <c r="B324" t="inlineStr">
        <is>
          <t>contract_date_conflict</t>
        </is>
      </c>
      <c r="C324" t="inlineStr">
        <is>
          <t>medium</t>
        </is>
      </c>
      <c r="D324" s="14" t="n">
        <v>45292</v>
      </c>
      <c r="E324" t="inlineStr">
        <is>
          <t>C000583</t>
        </is>
      </c>
      <c r="F324" s="9" t="n">
        <v>1350.9</v>
      </c>
      <c r="G324" t="inlineStr">
        <is>
          <t>Invoice date falls outside the linked contract</t>
        </is>
      </c>
    </row>
    <row r="325">
      <c r="A325" t="inlineStr">
        <is>
          <t>INV00008338</t>
        </is>
      </c>
      <c r="B325" t="inlineStr">
        <is>
          <t>contract_date_conflict</t>
        </is>
      </c>
      <c r="C325" t="inlineStr">
        <is>
          <t>medium</t>
        </is>
      </c>
      <c r="D325" s="14" t="n">
        <v>45292</v>
      </c>
      <c r="E325" t="inlineStr">
        <is>
          <t>C000587</t>
        </is>
      </c>
      <c r="F325" s="9" t="n">
        <v>397.8</v>
      </c>
      <c r="G325" t="inlineStr">
        <is>
          <t>Invoice date falls outside the linked contract</t>
        </is>
      </c>
    </row>
    <row r="326">
      <c r="A326" t="inlineStr">
        <is>
          <t>INV00009325</t>
        </is>
      </c>
      <c r="B326" t="inlineStr">
        <is>
          <t>contract_date_conflict</t>
        </is>
      </c>
      <c r="C326" t="inlineStr">
        <is>
          <t>medium</t>
        </is>
      </c>
      <c r="D326" s="14" t="n">
        <v>45292</v>
      </c>
      <c r="E326" t="inlineStr">
        <is>
          <t>C000657</t>
        </is>
      </c>
      <c r="F326" s="9" t="n">
        <v>312</v>
      </c>
      <c r="G326" t="inlineStr">
        <is>
          <t>Invoice date falls outside the linked contract</t>
        </is>
      </c>
    </row>
    <row r="327">
      <c r="A327" t="inlineStr">
        <is>
          <t>INV00010412</t>
        </is>
      </c>
      <c r="B327" t="inlineStr">
        <is>
          <t>contract_date_conflict</t>
        </is>
      </c>
      <c r="C327" t="inlineStr">
        <is>
          <t>medium</t>
        </is>
      </c>
      <c r="D327" s="14" t="n">
        <v>45292</v>
      </c>
      <c r="E327" t="inlineStr">
        <is>
          <t>C000731</t>
        </is>
      </c>
      <c r="F327" s="9" t="n">
        <v>245.7</v>
      </c>
      <c r="G327" t="inlineStr">
        <is>
          <t>Invoice date falls outside the linked contract</t>
        </is>
      </c>
    </row>
    <row r="328">
      <c r="A328" t="inlineStr">
        <is>
          <t>INV00010472</t>
        </is>
      </c>
      <c r="B328" t="inlineStr">
        <is>
          <t>contract_date_conflict</t>
        </is>
      </c>
      <c r="C328" t="inlineStr">
        <is>
          <t>medium</t>
        </is>
      </c>
      <c r="D328" s="14" t="n">
        <v>45292</v>
      </c>
      <c r="E328" t="inlineStr">
        <is>
          <t>C000734</t>
        </is>
      </c>
      <c r="F328" s="9" t="n">
        <v>7219.05</v>
      </c>
      <c r="G328" t="inlineStr">
        <is>
          <t>Invoice date falls outside the linked contract</t>
        </is>
      </c>
    </row>
    <row r="329">
      <c r="A329" t="inlineStr">
        <is>
          <t>INV00010666</t>
        </is>
      </c>
      <c r="B329" t="inlineStr">
        <is>
          <t>contract_date_conflict</t>
        </is>
      </c>
      <c r="C329" t="inlineStr">
        <is>
          <t>medium</t>
        </is>
      </c>
      <c r="D329" s="14" t="n">
        <v>45292</v>
      </c>
      <c r="E329" t="inlineStr">
        <is>
          <t>C000750</t>
        </is>
      </c>
      <c r="F329" s="9" t="n">
        <v>1947.35</v>
      </c>
      <c r="G329" t="inlineStr">
        <is>
          <t>Invoice date falls outside the linked contract</t>
        </is>
      </c>
    </row>
    <row r="330">
      <c r="A330" t="inlineStr">
        <is>
          <t>INV00011049</t>
        </is>
      </c>
      <c r="B330" t="inlineStr">
        <is>
          <t>contract_date_conflict</t>
        </is>
      </c>
      <c r="C330" t="inlineStr">
        <is>
          <t>medium</t>
        </is>
      </c>
      <c r="D330" s="14" t="n">
        <v>45292</v>
      </c>
      <c r="E330" t="inlineStr">
        <is>
          <t>C000778</t>
        </is>
      </c>
      <c r="F330" s="9" t="n">
        <v>10430</v>
      </c>
      <c r="G330" t="inlineStr">
        <is>
          <t>Invoice date falls outside the linked contract</t>
        </is>
      </c>
    </row>
    <row r="331">
      <c r="A331" t="inlineStr">
        <is>
          <t>INV00011500</t>
        </is>
      </c>
      <c r="B331" t="inlineStr">
        <is>
          <t>contract_date_conflict</t>
        </is>
      </c>
      <c r="C331" t="inlineStr">
        <is>
          <t>medium</t>
        </is>
      </c>
      <c r="D331" s="14" t="n">
        <v>45292</v>
      </c>
      <c r="E331" t="inlineStr">
        <is>
          <t>C000809</t>
        </is>
      </c>
      <c r="F331" s="9" t="n">
        <v>9118.799999999999</v>
      </c>
      <c r="G331" t="inlineStr">
        <is>
          <t>Invoice date falls outside the linked contract</t>
        </is>
      </c>
    </row>
    <row r="332">
      <c r="A332" t="inlineStr">
        <is>
          <t>INV00011704</t>
        </is>
      </c>
      <c r="B332" t="inlineStr">
        <is>
          <t>contract_date_conflict</t>
        </is>
      </c>
      <c r="C332" t="inlineStr">
        <is>
          <t>medium</t>
        </is>
      </c>
      <c r="D332" s="14" t="n">
        <v>45292</v>
      </c>
      <c r="E332" t="inlineStr">
        <is>
          <t>C000824</t>
        </is>
      </c>
      <c r="F332" s="9" t="n">
        <v>546</v>
      </c>
      <c r="G332" t="inlineStr">
        <is>
          <t>Invoice date falls outside the linked contract</t>
        </is>
      </c>
    </row>
    <row r="333">
      <c r="A333" t="inlineStr">
        <is>
          <t>INV00011920</t>
        </is>
      </c>
      <c r="B333" t="inlineStr">
        <is>
          <t>contract_date_conflict</t>
        </is>
      </c>
      <c r="C333" t="inlineStr">
        <is>
          <t>medium</t>
        </is>
      </c>
      <c r="D333" s="14" t="n">
        <v>45292</v>
      </c>
      <c r="E333" t="inlineStr">
        <is>
          <t>C000838</t>
        </is>
      </c>
      <c r="F333" s="9" t="n">
        <v>2559.6</v>
      </c>
      <c r="G333" t="inlineStr">
        <is>
          <t>Invoice date falls outside the linked contract</t>
        </is>
      </c>
    </row>
    <row r="334">
      <c r="A334" t="inlineStr">
        <is>
          <t>INV00012668</t>
        </is>
      </c>
      <c r="B334" t="inlineStr">
        <is>
          <t>contract_date_conflict</t>
        </is>
      </c>
      <c r="C334" t="inlineStr">
        <is>
          <t>medium</t>
        </is>
      </c>
      <c r="D334" s="14" t="n">
        <v>45292</v>
      </c>
      <c r="E334" t="inlineStr">
        <is>
          <t>C000892</t>
        </is>
      </c>
      <c r="F334" s="9" t="n">
        <v>1501</v>
      </c>
      <c r="G334" t="inlineStr">
        <is>
          <t>Invoice date falls outside the linked contract</t>
        </is>
      </c>
    </row>
    <row r="335">
      <c r="A335" t="inlineStr">
        <is>
          <t>INV00012927</t>
        </is>
      </c>
      <c r="B335" t="inlineStr">
        <is>
          <t>contract_date_conflict</t>
        </is>
      </c>
      <c r="C335" t="inlineStr">
        <is>
          <t>medium</t>
        </is>
      </c>
      <c r="D335" s="14" t="n">
        <v>45292</v>
      </c>
      <c r="E335" t="inlineStr">
        <is>
          <t>C000909</t>
        </is>
      </c>
      <c r="F335" s="9" t="n">
        <v>2054</v>
      </c>
      <c r="G335" t="inlineStr">
        <is>
          <t>Invoice date falls outside the linked contract</t>
        </is>
      </c>
    </row>
    <row r="336">
      <c r="A336" t="inlineStr">
        <is>
          <t>INV00013180</t>
        </is>
      </c>
      <c r="B336" t="inlineStr">
        <is>
          <t>contract_date_conflict</t>
        </is>
      </c>
      <c r="C336" t="inlineStr">
        <is>
          <t>medium</t>
        </is>
      </c>
      <c r="D336" s="14" t="n">
        <v>45292</v>
      </c>
      <c r="E336" t="inlineStr">
        <is>
          <t>C000925</t>
        </is>
      </c>
      <c r="F336" s="9" t="n">
        <v>364.65</v>
      </c>
      <c r="G336" t="inlineStr">
        <is>
          <t>Invoice date falls outside the linked contract</t>
        </is>
      </c>
    </row>
    <row r="337">
      <c r="A337" t="inlineStr">
        <is>
          <t>INV00013638</t>
        </is>
      </c>
      <c r="B337" t="inlineStr">
        <is>
          <t>contract_date_conflict</t>
        </is>
      </c>
      <c r="C337" t="inlineStr">
        <is>
          <t>medium</t>
        </is>
      </c>
      <c r="D337" s="14" t="n">
        <v>45292</v>
      </c>
      <c r="E337" t="inlineStr">
        <is>
          <t>C000964</t>
        </is>
      </c>
      <c r="F337" s="9" t="n">
        <v>234</v>
      </c>
      <c r="G337" t="inlineStr">
        <is>
          <t>Invoice date falls outside the linked contract</t>
        </is>
      </c>
    </row>
    <row r="338">
      <c r="A338" t="inlineStr">
        <is>
          <t>INV00013950</t>
        </is>
      </c>
      <c r="B338" t="inlineStr">
        <is>
          <t>contract_date_conflict</t>
        </is>
      </c>
      <c r="C338" t="inlineStr">
        <is>
          <t>medium</t>
        </is>
      </c>
      <c r="D338" s="14" t="n">
        <v>45292</v>
      </c>
      <c r="E338" t="inlineStr">
        <is>
          <t>C000986</t>
        </is>
      </c>
      <c r="F338" s="9" t="n">
        <v>7897</v>
      </c>
      <c r="G338" t="inlineStr">
        <is>
          <t>Invoice date falls outside the linked contract</t>
        </is>
      </c>
    </row>
    <row r="339">
      <c r="A339" t="inlineStr">
        <is>
          <t>INV00016067</t>
        </is>
      </c>
      <c r="B339" t="inlineStr">
        <is>
          <t>contract_date_conflict</t>
        </is>
      </c>
      <c r="C339" t="inlineStr">
        <is>
          <t>medium</t>
        </is>
      </c>
      <c r="D339" s="14" t="n">
        <v>45292</v>
      </c>
      <c r="E339" t="inlineStr">
        <is>
          <t>C001122</t>
        </is>
      </c>
      <c r="F339" s="9" t="n">
        <v>1425.95</v>
      </c>
      <c r="G339" t="inlineStr">
        <is>
          <t>Invoice date falls outside the linked contract</t>
        </is>
      </c>
    </row>
    <row r="340">
      <c r="A340" t="inlineStr">
        <is>
          <t>INV00016187</t>
        </is>
      </c>
      <c r="B340" t="inlineStr">
        <is>
          <t>contract_date_conflict</t>
        </is>
      </c>
      <c r="C340" t="inlineStr">
        <is>
          <t>medium</t>
        </is>
      </c>
      <c r="D340" s="14" t="n">
        <v>45292</v>
      </c>
      <c r="E340" t="inlineStr">
        <is>
          <t>C001130</t>
        </is>
      </c>
      <c r="F340" s="9" t="n">
        <v>1580</v>
      </c>
      <c r="G340" t="inlineStr">
        <is>
          <t>Invoice date falls outside the linked contract</t>
        </is>
      </c>
    </row>
    <row r="341">
      <c r="A341" t="inlineStr">
        <is>
          <t>INV00016802</t>
        </is>
      </c>
      <c r="B341" t="inlineStr">
        <is>
          <t>contract_date_conflict</t>
        </is>
      </c>
      <c r="C341" t="inlineStr">
        <is>
          <t>medium</t>
        </is>
      </c>
      <c r="D341" s="14" t="n">
        <v>45292</v>
      </c>
      <c r="E341" t="inlineStr">
        <is>
          <t>C001168</t>
        </is>
      </c>
      <c r="F341" s="9" t="n">
        <v>175.5</v>
      </c>
      <c r="G341" t="inlineStr">
        <is>
          <t>Invoice date falls outside the linked contract</t>
        </is>
      </c>
    </row>
    <row r="342">
      <c r="A342" t="inlineStr">
        <is>
          <t>INV00016853</t>
        </is>
      </c>
      <c r="B342" t="inlineStr">
        <is>
          <t>contract_date_conflict</t>
        </is>
      </c>
      <c r="C342" t="inlineStr">
        <is>
          <t>medium</t>
        </is>
      </c>
      <c r="D342" s="14" t="n">
        <v>45292</v>
      </c>
      <c r="E342" t="inlineStr">
        <is>
          <t>C001171</t>
        </is>
      </c>
      <c r="F342" s="9" t="n">
        <v>9387</v>
      </c>
      <c r="G342" t="inlineStr">
        <is>
          <t>Invoice date falls outside the linked contract</t>
        </is>
      </c>
    </row>
    <row r="343">
      <c r="A343" t="inlineStr">
        <is>
          <t>INV00016943</t>
        </is>
      </c>
      <c r="B343" t="inlineStr">
        <is>
          <t>contract_date_conflict</t>
        </is>
      </c>
      <c r="C343" t="inlineStr">
        <is>
          <t>medium</t>
        </is>
      </c>
      <c r="D343" s="14" t="n">
        <v>45292</v>
      </c>
      <c r="E343" t="inlineStr">
        <is>
          <t>C001176</t>
        </is>
      </c>
      <c r="F343" s="9" t="n">
        <v>259.35</v>
      </c>
      <c r="G343" t="inlineStr">
        <is>
          <t>Invoice date falls outside the linked contract</t>
        </is>
      </c>
    </row>
    <row r="344">
      <c r="A344" t="inlineStr">
        <is>
          <t>INV00000174</t>
        </is>
      </c>
      <c r="B344" t="inlineStr">
        <is>
          <t>contract_date_conflict</t>
        </is>
      </c>
      <c r="C344" t="inlineStr">
        <is>
          <t>medium</t>
        </is>
      </c>
      <c r="D344" s="14" t="n">
        <v>45323</v>
      </c>
      <c r="E344" t="inlineStr">
        <is>
          <t>C000017</t>
        </is>
      </c>
      <c r="F344" s="9" t="n">
        <v>351</v>
      </c>
      <c r="G344" t="inlineStr">
        <is>
          <t>Invoice date falls outside the linked contract</t>
        </is>
      </c>
    </row>
    <row r="345">
      <c r="A345" t="inlineStr">
        <is>
          <t>INV00000292</t>
        </is>
      </c>
      <c r="B345" t="inlineStr">
        <is>
          <t>contract_date_conflict</t>
        </is>
      </c>
      <c r="C345" t="inlineStr">
        <is>
          <t>medium</t>
        </is>
      </c>
      <c r="D345" s="14" t="n">
        <v>45323</v>
      </c>
      <c r="E345" t="inlineStr">
        <is>
          <t>C000024</t>
        </is>
      </c>
      <c r="F345" s="9" t="n">
        <v>234</v>
      </c>
      <c r="G345" t="inlineStr">
        <is>
          <t>Invoice date falls outside the linked contract</t>
        </is>
      </c>
    </row>
    <row r="346">
      <c r="A346" t="inlineStr">
        <is>
          <t>INV00002108</t>
        </is>
      </c>
      <c r="B346" t="inlineStr">
        <is>
          <t>contract_date_conflict</t>
        </is>
      </c>
      <c r="C346" t="inlineStr">
        <is>
          <t>medium</t>
        </is>
      </c>
      <c r="D346" s="14" t="n">
        <v>45323</v>
      </c>
      <c r="E346" t="inlineStr">
        <is>
          <t>C000149</t>
        </is>
      </c>
      <c r="F346" s="9" t="n">
        <v>481.65</v>
      </c>
      <c r="G346" t="inlineStr">
        <is>
          <t>Invoice date falls outside the linked contract</t>
        </is>
      </c>
    </row>
    <row r="347">
      <c r="A347" t="inlineStr">
        <is>
          <t>INV00003001</t>
        </is>
      </c>
      <c r="B347" t="inlineStr">
        <is>
          <t>contract_date_conflict</t>
        </is>
      </c>
      <c r="C347" t="inlineStr">
        <is>
          <t>medium</t>
        </is>
      </c>
      <c r="D347" s="14" t="n">
        <v>45323</v>
      </c>
      <c r="E347" t="inlineStr">
        <is>
          <t>C000220</t>
        </is>
      </c>
      <c r="F347" s="9" t="n">
        <v>222.3</v>
      </c>
      <c r="G347" t="inlineStr">
        <is>
          <t>Invoice date falls outside the linked contract</t>
        </is>
      </c>
    </row>
    <row r="348">
      <c r="A348" t="inlineStr">
        <is>
          <t>INV00003775</t>
        </is>
      </c>
      <c r="B348" t="inlineStr">
        <is>
          <t>contract_date_conflict</t>
        </is>
      </c>
      <c r="C348" t="inlineStr">
        <is>
          <t>medium</t>
        </is>
      </c>
      <c r="D348" s="14" t="n">
        <v>45323</v>
      </c>
      <c r="E348" t="inlineStr">
        <is>
          <t>C000278</t>
        </is>
      </c>
      <c r="F348" s="9" t="n">
        <v>10132</v>
      </c>
      <c r="G348" t="inlineStr">
        <is>
          <t>Invoice date falls outside the linked contract</t>
        </is>
      </c>
    </row>
    <row r="349">
      <c r="A349" t="inlineStr">
        <is>
          <t>INV00004344</t>
        </is>
      </c>
      <c r="B349" t="inlineStr">
        <is>
          <t>contract_date_conflict</t>
        </is>
      </c>
      <c r="C349" t="inlineStr">
        <is>
          <t>medium</t>
        </is>
      </c>
      <c r="D349" s="14" t="n">
        <v>45323</v>
      </c>
      <c r="E349" t="inlineStr">
        <is>
          <t>C000325</t>
        </is>
      </c>
      <c r="F349" s="9" t="n">
        <v>12218</v>
      </c>
      <c r="G349" t="inlineStr">
        <is>
          <t>Invoice date falls outside the linked contract</t>
        </is>
      </c>
    </row>
    <row r="350">
      <c r="A350" t="inlineStr">
        <is>
          <t>INV00004683</t>
        </is>
      </c>
      <c r="B350" t="inlineStr">
        <is>
          <t>contract_date_conflict</t>
        </is>
      </c>
      <c r="C350" t="inlineStr">
        <is>
          <t>medium</t>
        </is>
      </c>
      <c r="D350" s="14" t="n">
        <v>45323</v>
      </c>
      <c r="E350" t="inlineStr">
        <is>
          <t>C000346</t>
        </is>
      </c>
      <c r="F350" s="9" t="n">
        <v>187.2</v>
      </c>
      <c r="G350" t="inlineStr">
        <is>
          <t>Invoice date falls outside the linked contract</t>
        </is>
      </c>
    </row>
    <row r="351">
      <c r="A351" t="inlineStr">
        <is>
          <t>INV00004706</t>
        </is>
      </c>
      <c r="B351" t="inlineStr">
        <is>
          <t>contract_date_conflict</t>
        </is>
      </c>
      <c r="C351" t="inlineStr">
        <is>
          <t>medium</t>
        </is>
      </c>
      <c r="D351" s="14" t="n">
        <v>45323</v>
      </c>
      <c r="E351" t="inlineStr">
        <is>
          <t>C000347</t>
        </is>
      </c>
      <c r="F351" s="9" t="n">
        <v>1516.8</v>
      </c>
      <c r="G351" t="inlineStr">
        <is>
          <t>Invoice date falls outside the linked contract</t>
        </is>
      </c>
    </row>
    <row r="352">
      <c r="A352" t="inlineStr">
        <is>
          <t>INV00004843</t>
        </is>
      </c>
      <c r="B352" t="inlineStr">
        <is>
          <t>contract_date_conflict</t>
        </is>
      </c>
      <c r="C352" t="inlineStr">
        <is>
          <t>medium</t>
        </is>
      </c>
      <c r="D352" s="14" t="n">
        <v>45323</v>
      </c>
      <c r="E352" t="inlineStr">
        <is>
          <t>C000355</t>
        </is>
      </c>
      <c r="F352" s="9" t="n">
        <v>1185</v>
      </c>
      <c r="G352" t="inlineStr">
        <is>
          <t>Invoice date falls outside the linked contract</t>
        </is>
      </c>
    </row>
    <row r="353">
      <c r="A353" t="inlineStr">
        <is>
          <t>INV00004866</t>
        </is>
      </c>
      <c r="B353" t="inlineStr">
        <is>
          <t>contract_date_conflict</t>
        </is>
      </c>
      <c r="C353" t="inlineStr">
        <is>
          <t>medium</t>
        </is>
      </c>
      <c r="D353" s="14" t="n">
        <v>45323</v>
      </c>
      <c r="E353" t="inlineStr">
        <is>
          <t>C000356</t>
        </is>
      </c>
      <c r="F353" s="9" t="n">
        <v>9655.200000000001</v>
      </c>
      <c r="G353" t="inlineStr">
        <is>
          <t>Invoice date falls outside the linked contract</t>
        </is>
      </c>
    </row>
    <row r="354">
      <c r="A354" t="inlineStr">
        <is>
          <t>INV00005172</t>
        </is>
      </c>
      <c r="B354" t="inlineStr">
        <is>
          <t>contract_date_conflict</t>
        </is>
      </c>
      <c r="C354" t="inlineStr">
        <is>
          <t>medium</t>
        </is>
      </c>
      <c r="D354" s="14" t="n">
        <v>45323</v>
      </c>
      <c r="E354" t="inlineStr">
        <is>
          <t>C000375</t>
        </is>
      </c>
      <c r="F354" s="9" t="n">
        <v>351</v>
      </c>
      <c r="G354" t="inlineStr">
        <is>
          <t>Invoice date falls outside the linked contract</t>
        </is>
      </c>
    </row>
    <row r="355">
      <c r="A355" t="inlineStr">
        <is>
          <t>INV00005378</t>
        </is>
      </c>
      <c r="B355" t="inlineStr">
        <is>
          <t>contract_date_conflict</t>
        </is>
      </c>
      <c r="C355" t="inlineStr">
        <is>
          <t>medium</t>
        </is>
      </c>
      <c r="D355" s="14" t="n">
        <v>45323</v>
      </c>
      <c r="E355" t="inlineStr">
        <is>
          <t>C000387</t>
        </is>
      </c>
      <c r="F355" s="9" t="n">
        <v>12814</v>
      </c>
      <c r="G355" t="inlineStr">
        <is>
          <t>Invoice date falls outside the linked contract</t>
        </is>
      </c>
    </row>
    <row r="356">
      <c r="A356" t="inlineStr">
        <is>
          <t>INV00006272</t>
        </is>
      </c>
      <c r="B356" t="inlineStr">
        <is>
          <t>contract_date_conflict</t>
        </is>
      </c>
      <c r="C356" t="inlineStr">
        <is>
          <t>medium</t>
        </is>
      </c>
      <c r="D356" s="14" t="n">
        <v>45323</v>
      </c>
      <c r="E356" t="inlineStr">
        <is>
          <t>C000448</t>
        </is>
      </c>
      <c r="F356" s="9" t="n">
        <v>2844</v>
      </c>
      <c r="G356" t="inlineStr">
        <is>
          <t>Invoice date falls outside the linked contract</t>
        </is>
      </c>
    </row>
    <row r="357">
      <c r="A357" t="inlineStr">
        <is>
          <t>INV00006625</t>
        </is>
      </c>
      <c r="B357" t="inlineStr">
        <is>
          <t>contract_date_conflict</t>
        </is>
      </c>
      <c r="C357" t="inlineStr">
        <is>
          <t>medium</t>
        </is>
      </c>
      <c r="D357" s="14" t="n">
        <v>45323</v>
      </c>
      <c r="E357" t="inlineStr">
        <is>
          <t>C000474</t>
        </is>
      </c>
      <c r="F357" s="9" t="n">
        <v>222.3</v>
      </c>
      <c r="G357" t="inlineStr">
        <is>
          <t>Invoice date falls outside the linked contract</t>
        </is>
      </c>
    </row>
    <row r="358">
      <c r="A358" t="inlineStr">
        <is>
          <t>INV00006820</t>
        </is>
      </c>
      <c r="B358" t="inlineStr">
        <is>
          <t>contract_date_conflict</t>
        </is>
      </c>
      <c r="C358" t="inlineStr">
        <is>
          <t>medium</t>
        </is>
      </c>
      <c r="D358" s="14" t="n">
        <v>45323</v>
      </c>
      <c r="E358" t="inlineStr">
        <is>
          <t>C000484</t>
        </is>
      </c>
      <c r="F358" s="9" t="n">
        <v>175.5</v>
      </c>
      <c r="G358" t="inlineStr">
        <is>
          <t>Invoice date falls outside the linked contract</t>
        </is>
      </c>
    </row>
    <row r="359">
      <c r="A359" t="inlineStr">
        <is>
          <t>INV00008493</t>
        </is>
      </c>
      <c r="B359" t="inlineStr">
        <is>
          <t>contract_date_conflict</t>
        </is>
      </c>
      <c r="C359" t="inlineStr">
        <is>
          <t>medium</t>
        </is>
      </c>
      <c r="D359" s="14" t="n">
        <v>45323</v>
      </c>
      <c r="E359" t="inlineStr">
        <is>
          <t>C000599</t>
        </is>
      </c>
      <c r="F359" s="9" t="n">
        <v>1275.85</v>
      </c>
      <c r="G359" t="inlineStr">
        <is>
          <t>Invoice date falls outside the linked contract</t>
        </is>
      </c>
    </row>
    <row r="360">
      <c r="A360" t="inlineStr">
        <is>
          <t>INV00008939</t>
        </is>
      </c>
      <c r="B360" t="inlineStr">
        <is>
          <t>contract_date_conflict</t>
        </is>
      </c>
      <c r="C360" t="inlineStr">
        <is>
          <t>medium</t>
        </is>
      </c>
      <c r="D360" s="14" t="n">
        <v>45323</v>
      </c>
      <c r="E360" t="inlineStr">
        <is>
          <t>C000627</t>
        </is>
      </c>
      <c r="F360" s="9" t="n">
        <v>195</v>
      </c>
      <c r="G360" t="inlineStr">
        <is>
          <t>Invoice date falls outside the linked contract</t>
        </is>
      </c>
    </row>
    <row r="361">
      <c r="A361" t="inlineStr">
        <is>
          <t>INV00009451</t>
        </is>
      </c>
      <c r="B361" t="inlineStr">
        <is>
          <t>contract_date_conflict</t>
        </is>
      </c>
      <c r="C361" t="inlineStr">
        <is>
          <t>medium</t>
        </is>
      </c>
      <c r="D361" s="14" t="n">
        <v>45323</v>
      </c>
      <c r="E361" t="inlineStr">
        <is>
          <t>C000666</t>
        </is>
      </c>
      <c r="F361" s="9" t="n">
        <v>11026</v>
      </c>
      <c r="G361" t="inlineStr">
        <is>
          <t>Invoice date falls outside the linked contract</t>
        </is>
      </c>
    </row>
    <row r="362">
      <c r="A362" t="inlineStr">
        <is>
          <t>INV00009846</t>
        </is>
      </c>
      <c r="B362" t="inlineStr">
        <is>
          <t>contract_date_conflict</t>
        </is>
      </c>
      <c r="C362" t="inlineStr">
        <is>
          <t>medium</t>
        </is>
      </c>
      <c r="D362" s="14" t="n">
        <v>45323</v>
      </c>
      <c r="E362" t="inlineStr">
        <is>
          <t>C000695</t>
        </is>
      </c>
      <c r="F362" s="9" t="n">
        <v>11026</v>
      </c>
      <c r="G362" t="inlineStr">
        <is>
          <t>Invoice date falls outside the linked contract</t>
        </is>
      </c>
    </row>
    <row r="363">
      <c r="A363" t="inlineStr">
        <is>
          <t>INV00010164</t>
        </is>
      </c>
      <c r="B363" t="inlineStr">
        <is>
          <t>contract_date_conflict</t>
        </is>
      </c>
      <c r="C363" t="inlineStr">
        <is>
          <t>medium</t>
        </is>
      </c>
      <c r="D363" s="14" t="n">
        <v>45323</v>
      </c>
      <c r="E363" t="inlineStr">
        <is>
          <t>C000716</t>
        </is>
      </c>
      <c r="F363" s="9" t="n">
        <v>1564.2</v>
      </c>
      <c r="G363" t="inlineStr">
        <is>
          <t>Invoice date falls outside the linked contract</t>
        </is>
      </c>
    </row>
    <row r="364">
      <c r="A364" t="inlineStr">
        <is>
          <t>INV00010284</t>
        </is>
      </c>
      <c r="B364" t="inlineStr">
        <is>
          <t>contract_date_conflict</t>
        </is>
      </c>
      <c r="C364" t="inlineStr">
        <is>
          <t>medium</t>
        </is>
      </c>
      <c r="D364" s="14" t="n">
        <v>45323</v>
      </c>
      <c r="E364" t="inlineStr">
        <is>
          <t>C000724</t>
        </is>
      </c>
      <c r="F364" s="9" t="n">
        <v>1279.8</v>
      </c>
      <c r="G364" t="inlineStr">
        <is>
          <t>Invoice date falls outside the linked contract</t>
        </is>
      </c>
    </row>
    <row r="365">
      <c r="A365" t="inlineStr">
        <is>
          <t>INV00011579</t>
        </is>
      </c>
      <c r="B365" t="inlineStr">
        <is>
          <t>contract_date_conflict</t>
        </is>
      </c>
      <c r="C365" t="inlineStr">
        <is>
          <t>medium</t>
        </is>
      </c>
      <c r="D365" s="14" t="n">
        <v>45323</v>
      </c>
      <c r="E365" t="inlineStr">
        <is>
          <t>C000816</t>
        </is>
      </c>
      <c r="F365" s="9" t="n">
        <v>245.7</v>
      </c>
      <c r="G365" t="inlineStr">
        <is>
          <t>Invoice date falls outside the linked contract</t>
        </is>
      </c>
    </row>
    <row r="366">
      <c r="A366" t="inlineStr">
        <is>
          <t>INV00012053</t>
        </is>
      </c>
      <c r="B366" t="inlineStr">
        <is>
          <t>contract_date_conflict</t>
        </is>
      </c>
      <c r="C366" t="inlineStr">
        <is>
          <t>medium</t>
        </is>
      </c>
      <c r="D366" s="14" t="n">
        <v>45323</v>
      </c>
      <c r="E366" t="inlineStr">
        <is>
          <t>C000847</t>
        </is>
      </c>
      <c r="F366" s="9" t="n">
        <v>3634</v>
      </c>
      <c r="G366" t="inlineStr">
        <is>
          <t>Invoice date falls outside the linked contract</t>
        </is>
      </c>
    </row>
    <row r="367">
      <c r="A367" t="inlineStr">
        <is>
          <t>INV00012290</t>
        </is>
      </c>
      <c r="B367" t="inlineStr">
        <is>
          <t>contract_date_conflict</t>
        </is>
      </c>
      <c r="C367" t="inlineStr">
        <is>
          <t>medium</t>
        </is>
      </c>
      <c r="D367" s="14" t="n">
        <v>45323</v>
      </c>
      <c r="E367" t="inlineStr">
        <is>
          <t>C000865</t>
        </is>
      </c>
      <c r="F367" s="9" t="n">
        <v>1066.5</v>
      </c>
      <c r="G367" t="inlineStr">
        <is>
          <t>Invoice date falls outside the linked contract</t>
        </is>
      </c>
    </row>
    <row r="368">
      <c r="A368" t="inlineStr">
        <is>
          <t>INV00012526</t>
        </is>
      </c>
      <c r="B368" t="inlineStr">
        <is>
          <t>contract_date_conflict</t>
        </is>
      </c>
      <c r="C368" t="inlineStr">
        <is>
          <t>medium</t>
        </is>
      </c>
      <c r="D368" s="14" t="n">
        <v>45323</v>
      </c>
      <c r="E368" t="inlineStr">
        <is>
          <t>C000884</t>
        </is>
      </c>
      <c r="F368" s="9" t="n">
        <v>1185</v>
      </c>
      <c r="G368" t="inlineStr">
        <is>
          <t>Invoice date falls outside the linked contract</t>
        </is>
      </c>
    </row>
    <row r="369">
      <c r="A369" t="inlineStr">
        <is>
          <t>INV00013298</t>
        </is>
      </c>
      <c r="B369" t="inlineStr">
        <is>
          <t>contract_date_conflict</t>
        </is>
      </c>
      <c r="C369" t="inlineStr">
        <is>
          <t>medium</t>
        </is>
      </c>
      <c r="D369" s="14" t="n">
        <v>45323</v>
      </c>
      <c r="E369" t="inlineStr">
        <is>
          <t>C000935</t>
        </is>
      </c>
      <c r="F369" s="9" t="n">
        <v>210.6</v>
      </c>
      <c r="G369" t="inlineStr">
        <is>
          <t>Invoice date falls outside the linked contract</t>
        </is>
      </c>
    </row>
    <row r="370">
      <c r="A370" t="inlineStr">
        <is>
          <t>INV00013731</t>
        </is>
      </c>
      <c r="B370" t="inlineStr">
        <is>
          <t>contract_date_conflict</t>
        </is>
      </c>
      <c r="C370" t="inlineStr">
        <is>
          <t>medium</t>
        </is>
      </c>
      <c r="D370" s="14" t="n">
        <v>45323</v>
      </c>
      <c r="E370" t="inlineStr">
        <is>
          <t>C000972</t>
        </is>
      </c>
      <c r="F370" s="9" t="n">
        <v>2133</v>
      </c>
      <c r="G370" t="inlineStr">
        <is>
          <t>Invoice date falls outside the linked contract</t>
        </is>
      </c>
    </row>
    <row r="371">
      <c r="A371" t="inlineStr">
        <is>
          <t>INV00014661</t>
        </is>
      </c>
      <c r="B371" t="inlineStr">
        <is>
          <t>contract_date_conflict</t>
        </is>
      </c>
      <c r="C371" t="inlineStr">
        <is>
          <t>medium</t>
        </is>
      </c>
      <c r="D371" s="14" t="n">
        <v>45323</v>
      </c>
      <c r="E371" t="inlineStr">
        <is>
          <t>C001024</t>
        </is>
      </c>
      <c r="F371" s="9" t="n">
        <v>10258.65</v>
      </c>
      <c r="G371" t="inlineStr">
        <is>
          <t>Invoice date falls outside the linked contract</t>
        </is>
      </c>
    </row>
    <row r="372">
      <c r="A372" t="inlineStr">
        <is>
          <t>INV00014752</t>
        </is>
      </c>
      <c r="B372" t="inlineStr">
        <is>
          <t>contract_date_conflict</t>
        </is>
      </c>
      <c r="C372" t="inlineStr">
        <is>
          <t>medium</t>
        </is>
      </c>
      <c r="D372" s="14" t="n">
        <v>45323</v>
      </c>
      <c r="E372" t="inlineStr">
        <is>
          <t>C001030</t>
        </is>
      </c>
      <c r="F372" s="9" t="n">
        <v>273</v>
      </c>
      <c r="G372" t="inlineStr">
        <is>
          <t>Invoice date falls outside the linked contract</t>
        </is>
      </c>
    </row>
    <row r="373">
      <c r="A373" t="inlineStr">
        <is>
          <t>INV00015415</t>
        </is>
      </c>
      <c r="B373" t="inlineStr">
        <is>
          <t>contract_date_conflict</t>
        </is>
      </c>
      <c r="C373" t="inlineStr">
        <is>
          <t>medium</t>
        </is>
      </c>
      <c r="D373" s="14" t="n">
        <v>45323</v>
      </c>
      <c r="E373" t="inlineStr">
        <is>
          <t>C001074</t>
        </is>
      </c>
      <c r="F373" s="9" t="n">
        <v>9238</v>
      </c>
      <c r="G373" t="inlineStr">
        <is>
          <t>Invoice date falls outside the linked contract</t>
        </is>
      </c>
    </row>
    <row r="374">
      <c r="A374" t="inlineStr">
        <is>
          <t>INV00016625</t>
        </is>
      </c>
      <c r="B374" t="inlineStr">
        <is>
          <t>contract_date_conflict</t>
        </is>
      </c>
      <c r="C374" t="inlineStr">
        <is>
          <t>medium</t>
        </is>
      </c>
      <c r="D374" s="14" t="n">
        <v>45323</v>
      </c>
      <c r="E374" t="inlineStr">
        <is>
          <t>C001157</t>
        </is>
      </c>
      <c r="F374" s="9" t="n">
        <v>234</v>
      </c>
      <c r="G374" t="inlineStr">
        <is>
          <t>Invoice date falls outside the linked contract</t>
        </is>
      </c>
    </row>
    <row r="375">
      <c r="A375" t="inlineStr">
        <is>
          <t>INV00016826</t>
        </is>
      </c>
      <c r="B375" t="inlineStr">
        <is>
          <t>contract_date_conflict</t>
        </is>
      </c>
      <c r="C375" t="inlineStr">
        <is>
          <t>medium</t>
        </is>
      </c>
      <c r="D375" s="14" t="n">
        <v>45323</v>
      </c>
      <c r="E375" t="inlineStr">
        <is>
          <t>C001169</t>
        </is>
      </c>
      <c r="F375" s="9" t="n">
        <v>195</v>
      </c>
      <c r="G375" t="inlineStr">
        <is>
          <t>Invoice date falls outside the linked contract</t>
        </is>
      </c>
    </row>
    <row r="376">
      <c r="A376" t="inlineStr">
        <is>
          <t>INV00016920</t>
        </is>
      </c>
      <c r="B376" t="inlineStr">
        <is>
          <t>contract_date_conflict</t>
        </is>
      </c>
      <c r="C376" t="inlineStr">
        <is>
          <t>medium</t>
        </is>
      </c>
      <c r="D376" s="14" t="n">
        <v>45323</v>
      </c>
      <c r="E376" t="inlineStr">
        <is>
          <t>C001175</t>
        </is>
      </c>
      <c r="F376" s="9" t="n">
        <v>234</v>
      </c>
      <c r="G376" t="inlineStr">
        <is>
          <t>Invoice date falls outside the linked contract</t>
        </is>
      </c>
    </row>
    <row r="377">
      <c r="A377" t="inlineStr">
        <is>
          <t>INV00000321</t>
        </is>
      </c>
      <c r="B377" t="inlineStr">
        <is>
          <t>contract_date_conflict</t>
        </is>
      </c>
      <c r="C377" t="inlineStr">
        <is>
          <t>medium</t>
        </is>
      </c>
      <c r="D377" s="14" t="n">
        <v>45352</v>
      </c>
      <c r="E377" t="inlineStr">
        <is>
          <t>C000026</t>
        </is>
      </c>
      <c r="F377" s="9" t="n">
        <v>210.6</v>
      </c>
      <c r="G377" t="inlineStr">
        <is>
          <t>Invoice date falls outside the linked contract</t>
        </is>
      </c>
    </row>
    <row r="378">
      <c r="A378" t="inlineStr">
        <is>
          <t>INV00000540</t>
        </is>
      </c>
      <c r="B378" t="inlineStr">
        <is>
          <t>contract_date_conflict</t>
        </is>
      </c>
      <c r="C378" t="inlineStr">
        <is>
          <t>medium</t>
        </is>
      </c>
      <c r="D378" s="14" t="n">
        <v>45352</v>
      </c>
      <c r="E378" t="inlineStr">
        <is>
          <t>C000037</t>
        </is>
      </c>
      <c r="F378" s="9" t="n">
        <v>1141.55</v>
      </c>
      <c r="G378" t="inlineStr">
        <is>
          <t>Invoice date falls outside the linked contract</t>
        </is>
      </c>
    </row>
    <row r="379">
      <c r="A379" t="inlineStr">
        <is>
          <t>INV00002075</t>
        </is>
      </c>
      <c r="B379" t="inlineStr">
        <is>
          <t>contract_date_conflict</t>
        </is>
      </c>
      <c r="C379" t="inlineStr">
        <is>
          <t>medium</t>
        </is>
      </c>
      <c r="D379" s="14" t="n">
        <v>45352</v>
      </c>
      <c r="E379" t="inlineStr">
        <is>
          <t>C000146</t>
        </is>
      </c>
      <c r="F379" s="9" t="n">
        <v>2528</v>
      </c>
      <c r="G379" t="inlineStr">
        <is>
          <t>Invoice date falls outside the linked contract</t>
        </is>
      </c>
    </row>
    <row r="380">
      <c r="A380" t="inlineStr">
        <is>
          <t>INV00002248</t>
        </is>
      </c>
      <c r="B380" t="inlineStr">
        <is>
          <t>contract_date_conflict</t>
        </is>
      </c>
      <c r="C380" t="inlineStr">
        <is>
          <t>medium</t>
        </is>
      </c>
      <c r="D380" s="14" t="n">
        <v>45352</v>
      </c>
      <c r="E380" t="inlineStr">
        <is>
          <t>C000159</t>
        </is>
      </c>
      <c r="F380" s="9" t="n">
        <v>232.05</v>
      </c>
      <c r="G380" t="inlineStr">
        <is>
          <t>Invoice date falls outside the linked contract</t>
        </is>
      </c>
    </row>
    <row r="381">
      <c r="A381" t="inlineStr">
        <is>
          <t>INV00002940</t>
        </is>
      </c>
      <c r="B381" t="inlineStr">
        <is>
          <t>contract_date_conflict</t>
        </is>
      </c>
      <c r="C381" t="inlineStr">
        <is>
          <t>medium</t>
        </is>
      </c>
      <c r="D381" s="14" t="n">
        <v>45352</v>
      </c>
      <c r="E381" t="inlineStr">
        <is>
          <t>C000215</t>
        </is>
      </c>
      <c r="F381" s="9" t="n">
        <v>1990.8</v>
      </c>
      <c r="G381" t="inlineStr">
        <is>
          <t>Invoice date falls outside the linked contract</t>
        </is>
      </c>
    </row>
    <row r="382">
      <c r="A382" t="inlineStr">
        <is>
          <t>INV00003498</t>
        </is>
      </c>
      <c r="B382" t="inlineStr">
        <is>
          <t>contract_date_conflict</t>
        </is>
      </c>
      <c r="C382" t="inlineStr">
        <is>
          <t>medium</t>
        </is>
      </c>
      <c r="D382" s="14" t="n">
        <v>45352</v>
      </c>
      <c r="E382" t="inlineStr">
        <is>
          <t>C000253</t>
        </is>
      </c>
      <c r="F382" s="9" t="n">
        <v>1185</v>
      </c>
      <c r="G382" t="inlineStr">
        <is>
          <t>Invoice date falls outside the linked contract</t>
        </is>
      </c>
    </row>
    <row r="383">
      <c r="A383" t="inlineStr">
        <is>
          <t>INV00003753</t>
        </is>
      </c>
      <c r="B383" t="inlineStr">
        <is>
          <t>contract_date_conflict</t>
        </is>
      </c>
      <c r="C383" t="inlineStr">
        <is>
          <t>medium</t>
        </is>
      </c>
      <c r="D383" s="14" t="n">
        <v>45352</v>
      </c>
      <c r="E383" t="inlineStr">
        <is>
          <t>C000277</t>
        </is>
      </c>
      <c r="F383" s="9" t="n">
        <v>312</v>
      </c>
      <c r="G383" t="inlineStr">
        <is>
          <t>Invoice date falls outside the linked contract</t>
        </is>
      </c>
    </row>
    <row r="384">
      <c r="A384" t="inlineStr">
        <is>
          <t>INV00004453</t>
        </is>
      </c>
      <c r="B384" t="inlineStr">
        <is>
          <t>contract_date_conflict</t>
        </is>
      </c>
      <c r="C384" t="inlineStr">
        <is>
          <t>medium</t>
        </is>
      </c>
      <c r="D384" s="14" t="n">
        <v>45352</v>
      </c>
      <c r="E384" t="inlineStr">
        <is>
          <t>C000332</t>
        </is>
      </c>
      <c r="F384" s="9" t="n">
        <v>245.7</v>
      </c>
      <c r="G384" t="inlineStr">
        <is>
          <t>Invoice date falls outside the linked contract</t>
        </is>
      </c>
    </row>
    <row r="385">
      <c r="A385" t="inlineStr">
        <is>
          <t>INV00006922</t>
        </is>
      </c>
      <c r="B385" t="inlineStr">
        <is>
          <t>contract_date_conflict</t>
        </is>
      </c>
      <c r="C385" t="inlineStr">
        <is>
          <t>medium</t>
        </is>
      </c>
      <c r="D385" s="14" t="n">
        <v>45352</v>
      </c>
      <c r="E385" t="inlineStr">
        <is>
          <t>C000489</t>
        </is>
      </c>
      <c r="F385" s="9" t="n">
        <v>12814</v>
      </c>
      <c r="G385" t="inlineStr">
        <is>
          <t>Invoice date falls outside the linked contract</t>
        </is>
      </c>
    </row>
    <row r="386">
      <c r="A386" t="inlineStr">
        <is>
          <t>INV00006996</t>
        </is>
      </c>
      <c r="B386" t="inlineStr">
        <is>
          <t>contract_date_conflict</t>
        </is>
      </c>
      <c r="C386" t="inlineStr">
        <is>
          <t>medium</t>
        </is>
      </c>
      <c r="D386" s="14" t="n">
        <v>45352</v>
      </c>
      <c r="E386" t="inlineStr">
        <is>
          <t>C000494</t>
        </is>
      </c>
      <c r="F386" s="9" t="n">
        <v>234</v>
      </c>
      <c r="G386" t="inlineStr">
        <is>
          <t>Invoice date falls outside the linked contract</t>
        </is>
      </c>
    </row>
    <row r="387">
      <c r="A387" t="inlineStr">
        <is>
          <t>INV00007777</t>
        </is>
      </c>
      <c r="B387" t="inlineStr">
        <is>
          <t>contract_date_conflict</t>
        </is>
      </c>
      <c r="C387" t="inlineStr">
        <is>
          <t>medium</t>
        </is>
      </c>
      <c r="D387" s="14" t="n">
        <v>45352</v>
      </c>
      <c r="E387" t="inlineStr">
        <is>
          <t>C000549</t>
        </is>
      </c>
      <c r="F387" s="9" t="n">
        <v>234</v>
      </c>
      <c r="G387" t="inlineStr">
        <is>
          <t>Invoice date falls outside the linked contract</t>
        </is>
      </c>
    </row>
    <row r="388">
      <c r="A388" t="inlineStr">
        <is>
          <t>INV00008416</t>
        </is>
      </c>
      <c r="B388" t="inlineStr">
        <is>
          <t>contract_date_conflict</t>
        </is>
      </c>
      <c r="C388" t="inlineStr">
        <is>
          <t>medium</t>
        </is>
      </c>
      <c r="D388" s="14" t="n">
        <v>45352</v>
      </c>
      <c r="E388" t="inlineStr">
        <is>
          <t>C000595</t>
        </is>
      </c>
      <c r="F388" s="9" t="n">
        <v>195</v>
      </c>
      <c r="G388" t="inlineStr">
        <is>
          <t>Invoice date falls outside the linked contract</t>
        </is>
      </c>
    </row>
    <row r="389">
      <c r="A389" t="inlineStr">
        <is>
          <t>INV00009373</t>
        </is>
      </c>
      <c r="B389" t="inlineStr">
        <is>
          <t>contract_date_conflict</t>
        </is>
      </c>
      <c r="C389" t="inlineStr">
        <is>
          <t>medium</t>
        </is>
      </c>
      <c r="D389" s="14" t="n">
        <v>45352</v>
      </c>
      <c r="E389" t="inlineStr">
        <is>
          <t>C000659</t>
        </is>
      </c>
      <c r="F389" s="9" t="n">
        <v>8612.200000000001</v>
      </c>
      <c r="G389" t="inlineStr">
        <is>
          <t>Invoice date falls outside the linked contract</t>
        </is>
      </c>
    </row>
    <row r="390">
      <c r="A390" t="inlineStr">
        <is>
          <t>INV00010342</t>
        </is>
      </c>
      <c r="B390" t="inlineStr">
        <is>
          <t>contract_date_conflict</t>
        </is>
      </c>
      <c r="C390" t="inlineStr">
        <is>
          <t>medium</t>
        </is>
      </c>
      <c r="D390" s="14" t="n">
        <v>45352</v>
      </c>
      <c r="E390" t="inlineStr">
        <is>
          <t>C000727</t>
        </is>
      </c>
      <c r="F390" s="9" t="n">
        <v>175.5</v>
      </c>
      <c r="G390" t="inlineStr">
        <is>
          <t>Invoice date falls outside the linked contract</t>
        </is>
      </c>
    </row>
    <row r="391">
      <c r="A391" t="inlineStr">
        <is>
          <t>INV00011197</t>
        </is>
      </c>
      <c r="B391" t="inlineStr">
        <is>
          <t>contract_date_conflict</t>
        </is>
      </c>
      <c r="C391" t="inlineStr">
        <is>
          <t>medium</t>
        </is>
      </c>
      <c r="D391" s="14" t="n">
        <v>45352</v>
      </c>
      <c r="E391" t="inlineStr">
        <is>
          <t>C000789</t>
        </is>
      </c>
      <c r="F391" s="9" t="n">
        <v>165.75</v>
      </c>
      <c r="G391" t="inlineStr">
        <is>
          <t>Invoice date falls outside the linked contract</t>
        </is>
      </c>
    </row>
    <row r="392">
      <c r="A392" t="inlineStr">
        <is>
          <t>INV00012445</t>
        </is>
      </c>
      <c r="B392" t="inlineStr">
        <is>
          <t>contract_date_conflict</t>
        </is>
      </c>
      <c r="C392" t="inlineStr">
        <is>
          <t>medium</t>
        </is>
      </c>
      <c r="D392" s="14" t="n">
        <v>45352</v>
      </c>
      <c r="E392" t="inlineStr">
        <is>
          <t>C000877</t>
        </is>
      </c>
      <c r="F392" s="9" t="n">
        <v>1975</v>
      </c>
      <c r="G392" t="inlineStr">
        <is>
          <t>Invoice date falls outside the linked contract</t>
        </is>
      </c>
    </row>
    <row r="393">
      <c r="A393" t="inlineStr">
        <is>
          <t>INV00012905</t>
        </is>
      </c>
      <c r="B393" t="inlineStr">
        <is>
          <t>contract_date_conflict</t>
        </is>
      </c>
      <c r="C393" t="inlineStr">
        <is>
          <t>medium</t>
        </is>
      </c>
      <c r="D393" s="14" t="n">
        <v>45352</v>
      </c>
      <c r="E393" t="inlineStr">
        <is>
          <t>C000908</t>
        </is>
      </c>
      <c r="F393" s="9" t="n">
        <v>175.5</v>
      </c>
      <c r="G393" t="inlineStr">
        <is>
          <t>Invoice date falls outside the linked contract</t>
        </is>
      </c>
    </row>
    <row r="394">
      <c r="A394" t="inlineStr">
        <is>
          <t>INV00013265</t>
        </is>
      </c>
      <c r="B394" t="inlineStr">
        <is>
          <t>contract_date_conflict</t>
        </is>
      </c>
      <c r="C394" t="inlineStr">
        <is>
          <t>medium</t>
        </is>
      </c>
      <c r="D394" s="14" t="n">
        <v>45352</v>
      </c>
      <c r="E394" t="inlineStr">
        <is>
          <t>C000933</t>
        </is>
      </c>
      <c r="F394" s="9" t="n">
        <v>280.8</v>
      </c>
      <c r="G394" t="inlineStr">
        <is>
          <t>Invoice date falls outside the linked contract</t>
        </is>
      </c>
    </row>
    <row r="395">
      <c r="A395" t="inlineStr">
        <is>
          <t>INV00014320</t>
        </is>
      </c>
      <c r="B395" t="inlineStr">
        <is>
          <t>contract_date_conflict</t>
        </is>
      </c>
      <c r="C395" t="inlineStr">
        <is>
          <t>medium</t>
        </is>
      </c>
      <c r="D395" s="14" t="n">
        <v>45352</v>
      </c>
      <c r="E395" t="inlineStr">
        <is>
          <t>C001005</t>
        </is>
      </c>
      <c r="F395" s="9" t="n">
        <v>429</v>
      </c>
      <c r="G395" t="inlineStr">
        <is>
          <t>Invoice date falls outside the linked contract</t>
        </is>
      </c>
    </row>
    <row r="396">
      <c r="A396" t="inlineStr">
        <is>
          <t>INV00014443</t>
        </is>
      </c>
      <c r="B396" t="inlineStr">
        <is>
          <t>contract_date_conflict</t>
        </is>
      </c>
      <c r="C396" t="inlineStr">
        <is>
          <t>medium</t>
        </is>
      </c>
      <c r="D396" s="14" t="n">
        <v>45352</v>
      </c>
      <c r="E396" t="inlineStr">
        <is>
          <t>C001012</t>
        </is>
      </c>
      <c r="F396" s="9" t="n">
        <v>195</v>
      </c>
      <c r="G396" t="inlineStr">
        <is>
          <t>Invoice date falls outside the linked contract</t>
        </is>
      </c>
    </row>
    <row r="397">
      <c r="A397" t="inlineStr">
        <is>
          <t>INV00015193</t>
        </is>
      </c>
      <c r="B397" t="inlineStr">
        <is>
          <t>contract_date_conflict</t>
        </is>
      </c>
      <c r="C397" t="inlineStr">
        <is>
          <t>medium</t>
        </is>
      </c>
      <c r="D397" s="14" t="n">
        <v>45352</v>
      </c>
      <c r="E397" t="inlineStr">
        <is>
          <t>C001063</t>
        </is>
      </c>
      <c r="F397" s="9" t="n">
        <v>1185</v>
      </c>
      <c r="G397" t="inlineStr">
        <is>
          <t>Invoice date falls outside the linked contract</t>
        </is>
      </c>
    </row>
    <row r="398">
      <c r="A398" t="inlineStr">
        <is>
          <t>INV00015752</t>
        </is>
      </c>
      <c r="B398" t="inlineStr">
        <is>
          <t>contract_date_conflict</t>
        </is>
      </c>
      <c r="C398" t="inlineStr">
        <is>
          <t>medium</t>
        </is>
      </c>
      <c r="D398" s="14" t="n">
        <v>45352</v>
      </c>
      <c r="E398" t="inlineStr">
        <is>
          <t>C001095</t>
        </is>
      </c>
      <c r="F398" s="9" t="n">
        <v>15198</v>
      </c>
      <c r="G398" t="inlineStr">
        <is>
          <t>Invoice date falls outside the linked contract</t>
        </is>
      </c>
    </row>
    <row r="399">
      <c r="A399" t="inlineStr">
        <is>
          <t>INV00016877</t>
        </is>
      </c>
      <c r="B399" t="inlineStr">
        <is>
          <t>contract_date_conflict</t>
        </is>
      </c>
      <c r="C399" t="inlineStr">
        <is>
          <t>medium</t>
        </is>
      </c>
      <c r="D399" s="14" t="n">
        <v>45352</v>
      </c>
      <c r="E399" t="inlineStr">
        <is>
          <t>C001172</t>
        </is>
      </c>
      <c r="F399" s="9" t="n">
        <v>245.7</v>
      </c>
      <c r="G399" t="inlineStr">
        <is>
          <t>Invoice date falls outside the linked contract</t>
        </is>
      </c>
    </row>
    <row r="400">
      <c r="A400" t="inlineStr">
        <is>
          <t>INV00016967</t>
        </is>
      </c>
      <c r="B400" t="inlineStr">
        <is>
          <t>contract_date_conflict</t>
        </is>
      </c>
      <c r="C400" t="inlineStr">
        <is>
          <t>medium</t>
        </is>
      </c>
      <c r="D400" s="14" t="n">
        <v>45352</v>
      </c>
      <c r="E400" t="inlineStr">
        <is>
          <t>C001177</t>
        </is>
      </c>
      <c r="F400" s="9" t="n">
        <v>2401.6</v>
      </c>
      <c r="G400" t="inlineStr">
        <is>
          <t>Invoice date falls outside the linked contract</t>
        </is>
      </c>
    </row>
    <row r="401">
      <c r="A401" t="inlineStr">
        <is>
          <t>INV00017026</t>
        </is>
      </c>
      <c r="B401" t="inlineStr">
        <is>
          <t>contract_date_conflict</t>
        </is>
      </c>
      <c r="C401" t="inlineStr">
        <is>
          <t>medium</t>
        </is>
      </c>
      <c r="D401" s="14" t="n">
        <v>45352</v>
      </c>
      <c r="E401" t="inlineStr">
        <is>
          <t>C001183</t>
        </is>
      </c>
      <c r="F401" s="9" t="n">
        <v>1185</v>
      </c>
      <c r="G401" t="inlineStr">
        <is>
          <t>Invoice date falls outside the linked contract</t>
        </is>
      </c>
    </row>
    <row r="402">
      <c r="A402" t="inlineStr">
        <is>
          <t>INV00017243</t>
        </is>
      </c>
      <c r="B402" t="inlineStr">
        <is>
          <t>contract_date_conflict</t>
        </is>
      </c>
      <c r="C402" t="inlineStr">
        <is>
          <t>medium</t>
        </is>
      </c>
      <c r="D402" s="14" t="n">
        <v>45352</v>
      </c>
      <c r="E402" t="inlineStr">
        <is>
          <t>C001194</t>
        </is>
      </c>
      <c r="F402" s="9" t="n">
        <v>195</v>
      </c>
      <c r="G402" t="inlineStr">
        <is>
          <t>Invoice date falls outside the linked contract</t>
        </is>
      </c>
    </row>
    <row r="403">
      <c r="A403" t="inlineStr">
        <is>
          <t>INV00000726</t>
        </is>
      </c>
      <c r="B403" t="inlineStr">
        <is>
          <t>contract_date_conflict</t>
        </is>
      </c>
      <c r="C403" t="inlineStr">
        <is>
          <t>medium</t>
        </is>
      </c>
      <c r="D403" s="14" t="n">
        <v>45383</v>
      </c>
      <c r="E403" t="inlineStr">
        <is>
          <t>C000047</t>
        </is>
      </c>
      <c r="F403" s="9" t="n">
        <v>2844</v>
      </c>
      <c r="G403" t="inlineStr">
        <is>
          <t>Invoice date falls outside the linked contract</t>
        </is>
      </c>
    </row>
    <row r="404">
      <c r="A404" t="inlineStr">
        <is>
          <t>INV00001753</t>
        </is>
      </c>
      <c r="B404" t="inlineStr">
        <is>
          <t>contract_date_conflict</t>
        </is>
      </c>
      <c r="C404" t="inlineStr">
        <is>
          <t>medium</t>
        </is>
      </c>
      <c r="D404" s="14" t="n">
        <v>45383</v>
      </c>
      <c r="E404" t="inlineStr">
        <is>
          <t>C000118</t>
        </is>
      </c>
      <c r="F404" s="9" t="n">
        <v>1125.75</v>
      </c>
      <c r="G404" t="inlineStr">
        <is>
          <t>Invoice date falls outside the linked contract</t>
        </is>
      </c>
    </row>
    <row r="405">
      <c r="A405" t="inlineStr">
        <is>
          <t>INV00002227</t>
        </is>
      </c>
      <c r="B405" t="inlineStr">
        <is>
          <t>contract_date_conflict</t>
        </is>
      </c>
      <c r="C405" t="inlineStr">
        <is>
          <t>medium</t>
        </is>
      </c>
      <c r="D405" s="14" t="n">
        <v>45383</v>
      </c>
      <c r="E405" t="inlineStr">
        <is>
          <t>C000157</t>
        </is>
      </c>
      <c r="F405" s="9" t="n">
        <v>1343</v>
      </c>
      <c r="G405" t="inlineStr">
        <is>
          <t>Invoice date falls outside the linked contract</t>
        </is>
      </c>
    </row>
    <row r="406">
      <c r="A406" t="inlineStr">
        <is>
          <t>INV00002426</t>
        </is>
      </c>
      <c r="B406" t="inlineStr">
        <is>
          <t>contract_date_conflict</t>
        </is>
      </c>
      <c r="C406" t="inlineStr">
        <is>
          <t>medium</t>
        </is>
      </c>
      <c r="D406" s="14" t="n">
        <v>45383</v>
      </c>
      <c r="E406" t="inlineStr">
        <is>
          <t>C000170</t>
        </is>
      </c>
      <c r="F406" s="9" t="n">
        <v>1832.8</v>
      </c>
      <c r="G406" t="inlineStr">
        <is>
          <t>Invoice date falls outside the linked contract</t>
        </is>
      </c>
    </row>
    <row r="407">
      <c r="A407" t="inlineStr">
        <is>
          <t>INV00002504</t>
        </is>
      </c>
      <c r="B407" t="inlineStr">
        <is>
          <t>contract_date_conflict</t>
        </is>
      </c>
      <c r="C407" t="inlineStr">
        <is>
          <t>medium</t>
        </is>
      </c>
      <c r="D407" s="14" t="n">
        <v>45383</v>
      </c>
      <c r="E407" t="inlineStr">
        <is>
          <t>C000176</t>
        </is>
      </c>
      <c r="F407" s="9" t="n">
        <v>1896</v>
      </c>
      <c r="G407" t="inlineStr">
        <is>
          <t>Invoice date falls outside the linked contract</t>
        </is>
      </c>
    </row>
    <row r="408">
      <c r="A408" t="inlineStr">
        <is>
          <t>INV00002885</t>
        </is>
      </c>
      <c r="B408" t="inlineStr">
        <is>
          <t>contract_date_conflict</t>
        </is>
      </c>
      <c r="C408" t="inlineStr">
        <is>
          <t>medium</t>
        </is>
      </c>
      <c r="D408" s="14" t="n">
        <v>45383</v>
      </c>
      <c r="E408" t="inlineStr">
        <is>
          <t>C000210</t>
        </is>
      </c>
      <c r="F408" s="9" t="n">
        <v>1185</v>
      </c>
      <c r="G408" t="inlineStr">
        <is>
          <t>Invoice date falls outside the linked contract</t>
        </is>
      </c>
    </row>
    <row r="409">
      <c r="A409" t="inlineStr">
        <is>
          <t>INV00003417</t>
        </is>
      </c>
      <c r="B409" t="inlineStr">
        <is>
          <t>contract_date_conflict</t>
        </is>
      </c>
      <c r="C409" t="inlineStr">
        <is>
          <t>medium</t>
        </is>
      </c>
      <c r="D409" s="14" t="n">
        <v>45383</v>
      </c>
      <c r="E409" t="inlineStr">
        <is>
          <t>C000249</t>
        </is>
      </c>
      <c r="F409" s="9" t="n">
        <v>1896</v>
      </c>
      <c r="G409" t="inlineStr">
        <is>
          <t>Invoice date falls outside the linked contract</t>
        </is>
      </c>
    </row>
    <row r="410">
      <c r="A410" t="inlineStr">
        <is>
          <t>INV00004462</t>
        </is>
      </c>
      <c r="B410" t="inlineStr">
        <is>
          <t>contract_date_conflict</t>
        </is>
      </c>
      <c r="C410" t="inlineStr">
        <is>
          <t>medium</t>
        </is>
      </c>
      <c r="D410" s="14" t="n">
        <v>45383</v>
      </c>
      <c r="E410" t="inlineStr">
        <is>
          <t>C000334</t>
        </is>
      </c>
      <c r="F410" s="9" t="n">
        <v>185.25</v>
      </c>
      <c r="G410" t="inlineStr">
        <is>
          <t>Invoice date falls outside the linked contract</t>
        </is>
      </c>
    </row>
    <row r="411">
      <c r="A411" t="inlineStr">
        <is>
          <t>INV00004644</t>
        </is>
      </c>
      <c r="B411" t="inlineStr">
        <is>
          <t>contract_date_conflict</t>
        </is>
      </c>
      <c r="C411" t="inlineStr">
        <is>
          <t>medium</t>
        </is>
      </c>
      <c r="D411" s="14" t="n">
        <v>45383</v>
      </c>
      <c r="E411" t="inlineStr">
        <is>
          <t>C000344</t>
        </is>
      </c>
      <c r="F411" s="9" t="n">
        <v>1651.1</v>
      </c>
      <c r="G411" t="inlineStr">
        <is>
          <t>Invoice date falls outside the linked contract</t>
        </is>
      </c>
    </row>
    <row r="412">
      <c r="A412" t="inlineStr">
        <is>
          <t>INV00004780</t>
        </is>
      </c>
      <c r="B412" t="inlineStr">
        <is>
          <t>contract_date_conflict</t>
        </is>
      </c>
      <c r="C412" t="inlineStr">
        <is>
          <t>medium</t>
        </is>
      </c>
      <c r="D412" s="14" t="n">
        <v>45383</v>
      </c>
      <c r="E412" t="inlineStr">
        <is>
          <t>C000351</t>
        </is>
      </c>
      <c r="F412" s="9" t="n">
        <v>259.35</v>
      </c>
      <c r="G412" t="inlineStr">
        <is>
          <t>Invoice date falls outside the linked contract</t>
        </is>
      </c>
    </row>
    <row r="413">
      <c r="A413" t="inlineStr">
        <is>
          <t>INV00005145</t>
        </is>
      </c>
      <c r="B413" t="inlineStr">
        <is>
          <t>contract_date_conflict</t>
        </is>
      </c>
      <c r="C413" t="inlineStr">
        <is>
          <t>medium</t>
        </is>
      </c>
      <c r="D413" s="14" t="n">
        <v>45383</v>
      </c>
      <c r="E413" t="inlineStr">
        <is>
          <t>C000372</t>
        </is>
      </c>
      <c r="F413" s="9" t="n">
        <v>195</v>
      </c>
      <c r="G413" t="inlineStr">
        <is>
          <t>Invoice date falls outside the linked contract</t>
        </is>
      </c>
    </row>
    <row r="414">
      <c r="A414" t="inlineStr">
        <is>
          <t>INV00005929</t>
        </is>
      </c>
      <c r="B414" t="inlineStr">
        <is>
          <t>contract_date_conflict</t>
        </is>
      </c>
      <c r="C414" t="inlineStr">
        <is>
          <t>medium</t>
        </is>
      </c>
      <c r="D414" s="14" t="n">
        <v>45383</v>
      </c>
      <c r="E414" t="inlineStr">
        <is>
          <t>C000422</t>
        </is>
      </c>
      <c r="F414" s="9" t="n">
        <v>1125.75</v>
      </c>
      <c r="G414" t="inlineStr">
        <is>
          <t>Invoice date falls outside the linked contract</t>
        </is>
      </c>
    </row>
    <row r="415">
      <c r="A415" t="inlineStr">
        <is>
          <t>INV00005990</t>
        </is>
      </c>
      <c r="B415" t="inlineStr">
        <is>
          <t>contract_date_conflict</t>
        </is>
      </c>
      <c r="C415" t="inlineStr">
        <is>
          <t>medium</t>
        </is>
      </c>
      <c r="D415" s="14" t="n">
        <v>45383</v>
      </c>
      <c r="E415" t="inlineStr">
        <is>
          <t>C000427</t>
        </is>
      </c>
      <c r="F415" s="9" t="n">
        <v>175.5</v>
      </c>
      <c r="G415" t="inlineStr">
        <is>
          <t>Invoice date falls outside the linked contract</t>
        </is>
      </c>
    </row>
    <row r="416">
      <c r="A416" t="inlineStr">
        <is>
          <t>INV00007025</t>
        </is>
      </c>
      <c r="B416" t="inlineStr">
        <is>
          <t>contract_date_conflict</t>
        </is>
      </c>
      <c r="C416" t="inlineStr">
        <is>
          <t>medium</t>
        </is>
      </c>
      <c r="D416" s="14" t="n">
        <v>45383</v>
      </c>
      <c r="E416" t="inlineStr">
        <is>
          <t>C000496</t>
        </is>
      </c>
      <c r="F416" s="9" t="n">
        <v>1564.2</v>
      </c>
      <c r="G416" t="inlineStr">
        <is>
          <t>Invoice date falls outside the linked contract</t>
        </is>
      </c>
    </row>
    <row r="417">
      <c r="A417" t="inlineStr">
        <is>
          <t>INV00007884</t>
        </is>
      </c>
      <c r="B417" t="inlineStr">
        <is>
          <t>contract_date_conflict</t>
        </is>
      </c>
      <c r="C417" t="inlineStr">
        <is>
          <t>medium</t>
        </is>
      </c>
      <c r="D417" s="14" t="n">
        <v>45383</v>
      </c>
      <c r="E417" t="inlineStr">
        <is>
          <t>C000560</t>
        </is>
      </c>
      <c r="F417" s="9" t="n">
        <v>273</v>
      </c>
      <c r="G417" t="inlineStr">
        <is>
          <t>Invoice date falls outside the linked contract</t>
        </is>
      </c>
    </row>
    <row r="418">
      <c r="A418" t="inlineStr">
        <is>
          <t>INV00008286</t>
        </is>
      </c>
      <c r="B418" t="inlineStr">
        <is>
          <t>contract_date_conflict</t>
        </is>
      </c>
      <c r="C418" t="inlineStr">
        <is>
          <t>medium</t>
        </is>
      </c>
      <c r="D418" s="14" t="n">
        <v>45383</v>
      </c>
      <c r="E418" t="inlineStr">
        <is>
          <t>C000585</t>
        </is>
      </c>
      <c r="F418" s="9" t="n">
        <v>1659</v>
      </c>
      <c r="G418" t="inlineStr">
        <is>
          <t>Invoice date falls outside the linked contract</t>
        </is>
      </c>
    </row>
    <row r="419">
      <c r="A419" t="inlineStr">
        <is>
          <t>INV00008472</t>
        </is>
      </c>
      <c r="B419" t="inlineStr">
        <is>
          <t>contract_date_conflict</t>
        </is>
      </c>
      <c r="C419" t="inlineStr">
        <is>
          <t>medium</t>
        </is>
      </c>
      <c r="D419" s="14" t="n">
        <v>45383</v>
      </c>
      <c r="E419" t="inlineStr">
        <is>
          <t>C000598</t>
        </is>
      </c>
      <c r="F419" s="9" t="n">
        <v>2054</v>
      </c>
      <c r="G419" t="inlineStr">
        <is>
          <t>Invoice date falls outside the linked contract</t>
        </is>
      </c>
    </row>
    <row r="420">
      <c r="A420" t="inlineStr">
        <is>
          <t>INV00008572</t>
        </is>
      </c>
      <c r="B420" t="inlineStr">
        <is>
          <t>contract_date_conflict</t>
        </is>
      </c>
      <c r="C420" t="inlineStr">
        <is>
          <t>medium</t>
        </is>
      </c>
      <c r="D420" s="14" t="n">
        <v>45383</v>
      </c>
      <c r="E420" t="inlineStr">
        <is>
          <t>C000606</t>
        </is>
      </c>
      <c r="F420" s="9" t="n">
        <v>195</v>
      </c>
      <c r="G420" t="inlineStr">
        <is>
          <t>Invoice date falls outside the linked contract</t>
        </is>
      </c>
    </row>
    <row r="421">
      <c r="A421" t="inlineStr">
        <is>
          <t>INV00008978</t>
        </is>
      </c>
      <c r="B421" t="inlineStr">
        <is>
          <t>contract_date_conflict</t>
        </is>
      </c>
      <c r="C421" t="inlineStr">
        <is>
          <t>medium</t>
        </is>
      </c>
      <c r="D421" s="14" t="n">
        <v>45383</v>
      </c>
      <c r="E421" t="inlineStr">
        <is>
          <t>C000631</t>
        </is>
      </c>
      <c r="F421" s="9" t="n">
        <v>265.2</v>
      </c>
      <c r="G421" t="inlineStr">
        <is>
          <t>Invoice date falls outside the linked contract</t>
        </is>
      </c>
    </row>
    <row r="422">
      <c r="A422" t="inlineStr">
        <is>
          <t>INV00010086</t>
        </is>
      </c>
      <c r="B422" t="inlineStr">
        <is>
          <t>contract_date_conflict</t>
        </is>
      </c>
      <c r="C422" t="inlineStr">
        <is>
          <t>medium</t>
        </is>
      </c>
      <c r="D422" s="14" t="n">
        <v>45383</v>
      </c>
      <c r="E422" t="inlineStr">
        <is>
          <t>C000710</t>
        </is>
      </c>
      <c r="F422" s="9" t="n">
        <v>234</v>
      </c>
      <c r="G422" t="inlineStr">
        <is>
          <t>Invoice date falls outside the linked contract</t>
        </is>
      </c>
    </row>
    <row r="423">
      <c r="A423" t="inlineStr">
        <is>
          <t>INV00010321</t>
        </is>
      </c>
      <c r="B423" t="inlineStr">
        <is>
          <t>contract_date_conflict</t>
        </is>
      </c>
      <c r="C423" t="inlineStr">
        <is>
          <t>medium</t>
        </is>
      </c>
      <c r="D423" s="14" t="n">
        <v>45383</v>
      </c>
      <c r="E423" t="inlineStr">
        <is>
          <t>C000726</t>
        </is>
      </c>
      <c r="F423" s="9" t="n">
        <v>195</v>
      </c>
      <c r="G423" t="inlineStr">
        <is>
          <t>Invoice date falls outside the linked contract</t>
        </is>
      </c>
    </row>
    <row r="424">
      <c r="A424" t="inlineStr">
        <is>
          <t>INV00011290</t>
        </is>
      </c>
      <c r="B424" t="inlineStr">
        <is>
          <t>contract_date_conflict</t>
        </is>
      </c>
      <c r="C424" t="inlineStr">
        <is>
          <t>medium</t>
        </is>
      </c>
      <c r="D424" s="14" t="n">
        <v>45383</v>
      </c>
      <c r="E424" t="inlineStr">
        <is>
          <t>C000793</t>
        </is>
      </c>
      <c r="F424" s="9" t="n">
        <v>185.25</v>
      </c>
      <c r="G424" t="inlineStr">
        <is>
          <t>Invoice date falls outside the linked contract</t>
        </is>
      </c>
    </row>
    <row r="425">
      <c r="A425" t="inlineStr">
        <is>
          <t>INV00011352</t>
        </is>
      </c>
      <c r="B425" t="inlineStr">
        <is>
          <t>contract_date_conflict</t>
        </is>
      </c>
      <c r="C425" t="inlineStr">
        <is>
          <t>medium</t>
        </is>
      </c>
      <c r="D425" s="14" t="n">
        <v>45383</v>
      </c>
      <c r="E425" t="inlineStr">
        <is>
          <t>C000797</t>
        </is>
      </c>
      <c r="F425" s="9" t="n">
        <v>390</v>
      </c>
      <c r="G425" t="inlineStr">
        <is>
          <t>Invoice date falls outside the linked contract</t>
        </is>
      </c>
    </row>
    <row r="426">
      <c r="A426" t="inlineStr">
        <is>
          <t>INV00013287</t>
        </is>
      </c>
      <c r="B426" t="inlineStr">
        <is>
          <t>contract_date_conflict</t>
        </is>
      </c>
      <c r="C426" t="inlineStr">
        <is>
          <t>medium</t>
        </is>
      </c>
      <c r="D426" s="14" t="n">
        <v>45383</v>
      </c>
      <c r="E426" t="inlineStr">
        <is>
          <t>C000934</t>
        </is>
      </c>
      <c r="F426" s="9" t="n">
        <v>364.65</v>
      </c>
      <c r="G426" t="inlineStr">
        <is>
          <t>Invoice date falls outside the linked contract</t>
        </is>
      </c>
    </row>
    <row r="427">
      <c r="A427" t="inlineStr">
        <is>
          <t>INV00015618</t>
        </is>
      </c>
      <c r="B427" t="inlineStr">
        <is>
          <t>contract_date_conflict</t>
        </is>
      </c>
      <c r="C427" t="inlineStr">
        <is>
          <t>medium</t>
        </is>
      </c>
      <c r="D427" s="14" t="n">
        <v>45383</v>
      </c>
      <c r="E427" t="inlineStr">
        <is>
          <t>C001085</t>
        </is>
      </c>
      <c r="F427" s="9" t="n">
        <v>175.5</v>
      </c>
      <c r="G427" t="inlineStr">
        <is>
          <t>Invoice date falls outside the linked contract</t>
        </is>
      </c>
    </row>
    <row r="428">
      <c r="A428" t="inlineStr">
        <is>
          <t>INV00015715</t>
        </is>
      </c>
      <c r="B428" t="inlineStr">
        <is>
          <t>contract_date_conflict</t>
        </is>
      </c>
      <c r="C428" t="inlineStr">
        <is>
          <t>medium</t>
        </is>
      </c>
      <c r="D428" s="14" t="n">
        <v>45383</v>
      </c>
      <c r="E428" t="inlineStr">
        <is>
          <t>C001090</t>
        </is>
      </c>
      <c r="F428" s="9" t="n">
        <v>6705</v>
      </c>
      <c r="G428" t="inlineStr">
        <is>
          <t>Invoice date falls outside the linked contract</t>
        </is>
      </c>
    </row>
    <row r="429">
      <c r="A429" t="inlineStr">
        <is>
          <t>INV00016692</t>
        </is>
      </c>
      <c r="B429" t="inlineStr">
        <is>
          <t>contract_date_conflict</t>
        </is>
      </c>
      <c r="C429" t="inlineStr">
        <is>
          <t>medium</t>
        </is>
      </c>
      <c r="D429" s="14" t="n">
        <v>45383</v>
      </c>
      <c r="E429" t="inlineStr">
        <is>
          <t>C001162</t>
        </is>
      </c>
      <c r="F429" s="9" t="n">
        <v>1185</v>
      </c>
      <c r="G429" t="inlineStr">
        <is>
          <t>Invoice date falls outside the linked contract</t>
        </is>
      </c>
    </row>
    <row r="430">
      <c r="A430" t="inlineStr">
        <is>
          <t>INV00016899</t>
        </is>
      </c>
      <c r="B430" t="inlineStr">
        <is>
          <t>contract_date_conflict</t>
        </is>
      </c>
      <c r="C430" t="inlineStr">
        <is>
          <t>medium</t>
        </is>
      </c>
      <c r="D430" s="14" t="n">
        <v>45383</v>
      </c>
      <c r="E430" t="inlineStr">
        <is>
          <t>C001174</t>
        </is>
      </c>
      <c r="F430" s="9" t="n">
        <v>390</v>
      </c>
      <c r="G430" t="inlineStr">
        <is>
          <t>Invoice date falls outside the linked contract</t>
        </is>
      </c>
    </row>
    <row r="431">
      <c r="A431" t="inlineStr">
        <is>
          <t>INV00017098</t>
        </is>
      </c>
      <c r="B431" t="inlineStr">
        <is>
          <t>contract_date_conflict</t>
        </is>
      </c>
      <c r="C431" t="inlineStr">
        <is>
          <t>medium</t>
        </is>
      </c>
      <c r="D431" s="14" t="n">
        <v>45383</v>
      </c>
      <c r="E431" t="inlineStr">
        <is>
          <t>C001186</t>
        </is>
      </c>
      <c r="F431" s="9" t="n">
        <v>175.5</v>
      </c>
      <c r="G431" t="inlineStr">
        <is>
          <t>Invoice date falls outside the linked contract</t>
        </is>
      </c>
    </row>
    <row r="432">
      <c r="A432" t="inlineStr">
        <is>
          <t>INV00017168</t>
        </is>
      </c>
      <c r="B432" t="inlineStr">
        <is>
          <t>contract_date_conflict</t>
        </is>
      </c>
      <c r="C432" t="inlineStr">
        <is>
          <t>medium</t>
        </is>
      </c>
      <c r="D432" s="14" t="n">
        <v>45383</v>
      </c>
      <c r="E432" t="inlineStr">
        <is>
          <t>C001191</t>
        </is>
      </c>
      <c r="F432" s="9" t="n">
        <v>2212</v>
      </c>
      <c r="G432" t="inlineStr">
        <is>
          <t>Invoice date falls outside the linked contract</t>
        </is>
      </c>
    </row>
    <row r="433">
      <c r="A433" t="inlineStr">
        <is>
          <t>INV00000001</t>
        </is>
      </c>
      <c r="B433" t="inlineStr">
        <is>
          <t>contract_date_conflict</t>
        </is>
      </c>
      <c r="C433" t="inlineStr">
        <is>
          <t>medium</t>
        </is>
      </c>
      <c r="D433" s="14" t="n">
        <v>45413</v>
      </c>
      <c r="E433" t="inlineStr">
        <is>
          <t>C000001</t>
        </is>
      </c>
      <c r="F433" s="9" t="n">
        <v>7450</v>
      </c>
      <c r="G433" t="inlineStr">
        <is>
          <t>Invoice date falls outside the linked contract</t>
        </is>
      </c>
    </row>
    <row r="434">
      <c r="A434" t="inlineStr">
        <is>
          <t>INV00000093</t>
        </is>
      </c>
      <c r="B434" t="inlineStr">
        <is>
          <t>contract_date_conflict</t>
        </is>
      </c>
      <c r="C434" t="inlineStr">
        <is>
          <t>medium</t>
        </is>
      </c>
      <c r="D434" s="14" t="n">
        <v>45413</v>
      </c>
      <c r="E434" t="inlineStr">
        <is>
          <t>C000009</t>
        </is>
      </c>
      <c r="F434" s="9" t="n">
        <v>1422</v>
      </c>
      <c r="G434" t="inlineStr">
        <is>
          <t>Invoice date falls outside the linked contract</t>
        </is>
      </c>
    </row>
    <row r="435">
      <c r="A435" t="inlineStr">
        <is>
          <t>INV00000145</t>
        </is>
      </c>
      <c r="B435" t="inlineStr">
        <is>
          <t>contract_date_conflict</t>
        </is>
      </c>
      <c r="C435" t="inlineStr">
        <is>
          <t>medium</t>
        </is>
      </c>
      <c r="D435" s="14" t="n">
        <v>45413</v>
      </c>
      <c r="E435" t="inlineStr">
        <is>
          <t>C000015</t>
        </is>
      </c>
      <c r="F435" s="9" t="n">
        <v>7509.6</v>
      </c>
      <c r="G435" t="inlineStr">
        <is>
          <t>Invoice date falls outside the linked contract</t>
        </is>
      </c>
    </row>
    <row r="436">
      <c r="A436" t="inlineStr">
        <is>
          <t>INV00001488</t>
        </is>
      </c>
      <c r="B436" t="inlineStr">
        <is>
          <t>contract_date_conflict</t>
        </is>
      </c>
      <c r="C436" t="inlineStr">
        <is>
          <t>medium</t>
        </is>
      </c>
      <c r="D436" s="14" t="n">
        <v>45413</v>
      </c>
      <c r="E436" t="inlineStr">
        <is>
          <t>C000099</t>
        </is>
      </c>
      <c r="F436" s="9" t="n">
        <v>7375.5</v>
      </c>
      <c r="G436" t="inlineStr">
        <is>
          <t>Invoice date falls outside the linked contract</t>
        </is>
      </c>
    </row>
    <row r="437">
      <c r="A437" t="inlineStr">
        <is>
          <t>INV00002920</t>
        </is>
      </c>
      <c r="B437" t="inlineStr">
        <is>
          <t>contract_date_conflict</t>
        </is>
      </c>
      <c r="C437" t="inlineStr">
        <is>
          <t>medium</t>
        </is>
      </c>
      <c r="D437" s="14" t="n">
        <v>45413</v>
      </c>
      <c r="E437" t="inlineStr">
        <is>
          <t>C000213</t>
        </is>
      </c>
      <c r="F437" s="9" t="n">
        <v>8642</v>
      </c>
      <c r="G437" t="inlineStr">
        <is>
          <t>Invoice date falls outside the linked contract</t>
        </is>
      </c>
    </row>
    <row r="438">
      <c r="A438" t="inlineStr">
        <is>
          <t>INV00003241</t>
        </is>
      </c>
      <c r="B438" t="inlineStr">
        <is>
          <t>contract_date_conflict</t>
        </is>
      </c>
      <c r="C438" t="inlineStr">
        <is>
          <t>medium</t>
        </is>
      </c>
      <c r="D438" s="14" t="n">
        <v>45413</v>
      </c>
      <c r="E438" t="inlineStr">
        <is>
          <t>C000237</t>
        </is>
      </c>
      <c r="F438" s="9" t="n">
        <v>273</v>
      </c>
      <c r="G438" t="inlineStr">
        <is>
          <t>Invoice date falls outside the linked contract</t>
        </is>
      </c>
    </row>
    <row r="439">
      <c r="A439" t="inlineStr">
        <is>
          <t>INV00004367</t>
        </is>
      </c>
      <c r="B439" t="inlineStr">
        <is>
          <t>contract_date_conflict</t>
        </is>
      </c>
      <c r="C439" t="inlineStr">
        <is>
          <t>medium</t>
        </is>
      </c>
      <c r="D439" s="14" t="n">
        <v>45413</v>
      </c>
      <c r="E439" t="inlineStr">
        <is>
          <t>C000326</t>
        </is>
      </c>
      <c r="F439" s="9" t="n">
        <v>390</v>
      </c>
      <c r="G439" t="inlineStr">
        <is>
          <t>Invoice date falls outside the linked contract</t>
        </is>
      </c>
    </row>
    <row r="440">
      <c r="A440" t="inlineStr">
        <is>
          <t>INV00004718</t>
        </is>
      </c>
      <c r="B440" t="inlineStr">
        <is>
          <t>contract_date_conflict</t>
        </is>
      </c>
      <c r="C440" t="inlineStr">
        <is>
          <t>medium</t>
        </is>
      </c>
      <c r="D440" s="14" t="n">
        <v>45413</v>
      </c>
      <c r="E440" t="inlineStr">
        <is>
          <t>C000348</t>
        </is>
      </c>
      <c r="F440" s="9" t="n">
        <v>1279.8</v>
      </c>
      <c r="G440" t="inlineStr">
        <is>
          <t>Invoice date falls outside the linked contract</t>
        </is>
      </c>
    </row>
    <row r="441">
      <c r="A441" t="inlineStr">
        <is>
          <t>INV00004991</t>
        </is>
      </c>
      <c r="B441" t="inlineStr">
        <is>
          <t>contract_date_conflict</t>
        </is>
      </c>
      <c r="C441" t="inlineStr">
        <is>
          <t>medium</t>
        </is>
      </c>
      <c r="D441" s="14" t="n">
        <v>45413</v>
      </c>
      <c r="E441" t="inlineStr">
        <is>
          <t>C000362</t>
        </is>
      </c>
      <c r="F441" s="9" t="n">
        <v>3021.75</v>
      </c>
      <c r="G441" t="inlineStr">
        <is>
          <t>Invoice date falls outside the linked contract</t>
        </is>
      </c>
    </row>
    <row r="442">
      <c r="A442" t="inlineStr">
        <is>
          <t>INV00005313</t>
        </is>
      </c>
      <c r="B442" t="inlineStr">
        <is>
          <t>contract_date_conflict</t>
        </is>
      </c>
      <c r="C442" t="inlineStr">
        <is>
          <t>medium</t>
        </is>
      </c>
      <c r="D442" s="14" t="n">
        <v>45413</v>
      </c>
      <c r="E442" t="inlineStr">
        <is>
          <t>C000383</t>
        </is>
      </c>
      <c r="F442" s="9" t="n">
        <v>273</v>
      </c>
      <c r="G442" t="inlineStr">
        <is>
          <t>Invoice date falls outside the linked contract</t>
        </is>
      </c>
    </row>
    <row r="443">
      <c r="A443" t="inlineStr">
        <is>
          <t>INV00005358</t>
        </is>
      </c>
      <c r="B443" t="inlineStr">
        <is>
          <t>contract_date_conflict</t>
        </is>
      </c>
      <c r="C443" t="inlineStr">
        <is>
          <t>medium</t>
        </is>
      </c>
      <c r="D443" s="14" t="n">
        <v>45413</v>
      </c>
      <c r="E443" t="inlineStr">
        <is>
          <t>C000386</t>
        </is>
      </c>
      <c r="F443" s="9" t="n">
        <v>245.7</v>
      </c>
      <c r="G443" t="inlineStr">
        <is>
          <t>Invoice date falls outside the linked contract</t>
        </is>
      </c>
    </row>
    <row r="444">
      <c r="A444" t="inlineStr">
        <is>
          <t>INV00005608</t>
        </is>
      </c>
      <c r="B444" t="inlineStr">
        <is>
          <t>contract_date_conflict</t>
        </is>
      </c>
      <c r="C444" t="inlineStr">
        <is>
          <t>medium</t>
        </is>
      </c>
      <c r="D444" s="14" t="n">
        <v>45413</v>
      </c>
      <c r="E444" t="inlineStr">
        <is>
          <t>C000401</t>
        </is>
      </c>
      <c r="F444" s="9" t="n">
        <v>1141.55</v>
      </c>
      <c r="G444" t="inlineStr">
        <is>
          <t>Invoice date falls outside the linked contract</t>
        </is>
      </c>
    </row>
    <row r="445">
      <c r="A445" t="inlineStr">
        <is>
          <t>INV00005831</t>
        </is>
      </c>
      <c r="B445" t="inlineStr">
        <is>
          <t>contract_date_conflict</t>
        </is>
      </c>
      <c r="C445" t="inlineStr">
        <is>
          <t>medium</t>
        </is>
      </c>
      <c r="D445" s="14" t="n">
        <v>45413</v>
      </c>
      <c r="E445" t="inlineStr">
        <is>
          <t>C000414</t>
        </is>
      </c>
      <c r="F445" s="9" t="n">
        <v>7450</v>
      </c>
      <c r="G445" t="inlineStr">
        <is>
          <t>Invoice date falls outside the linked contract</t>
        </is>
      </c>
    </row>
    <row r="446">
      <c r="A446" t="inlineStr">
        <is>
          <t>INV00006066</t>
        </is>
      </c>
      <c r="B446" t="inlineStr">
        <is>
          <t>contract_date_conflict</t>
        </is>
      </c>
      <c r="C446" t="inlineStr">
        <is>
          <t>medium</t>
        </is>
      </c>
      <c r="D446" s="14" t="n">
        <v>45413</v>
      </c>
      <c r="E446" t="inlineStr">
        <is>
          <t>C000431</t>
        </is>
      </c>
      <c r="F446" s="9" t="n">
        <v>1066.5</v>
      </c>
      <c r="G446" t="inlineStr">
        <is>
          <t>Invoice date falls outside the linked contract</t>
        </is>
      </c>
    </row>
    <row r="447">
      <c r="A447" t="inlineStr">
        <is>
          <t>INV00006452</t>
        </is>
      </c>
      <c r="B447" t="inlineStr">
        <is>
          <t>contract_date_conflict</t>
        </is>
      </c>
      <c r="C447" t="inlineStr">
        <is>
          <t>medium</t>
        </is>
      </c>
      <c r="D447" s="14" t="n">
        <v>45413</v>
      </c>
      <c r="E447" t="inlineStr">
        <is>
          <t>C000458</t>
        </is>
      </c>
      <c r="F447" s="9" t="n">
        <v>1343</v>
      </c>
      <c r="G447" t="inlineStr">
        <is>
          <t>Invoice date falls outside the linked contract</t>
        </is>
      </c>
    </row>
    <row r="448">
      <c r="A448" t="inlineStr">
        <is>
          <t>INV00007118</t>
        </is>
      </c>
      <c r="B448" t="inlineStr">
        <is>
          <t>contract_date_conflict</t>
        </is>
      </c>
      <c r="C448" t="inlineStr">
        <is>
          <t>medium</t>
        </is>
      </c>
      <c r="D448" s="14" t="n">
        <v>45413</v>
      </c>
      <c r="E448" t="inlineStr">
        <is>
          <t>C000500</t>
        </is>
      </c>
      <c r="F448" s="9" t="n">
        <v>1343</v>
      </c>
      <c r="G448" t="inlineStr">
        <is>
          <t>Invoice date falls outside the linked contract</t>
        </is>
      </c>
    </row>
    <row r="449">
      <c r="A449" t="inlineStr">
        <is>
          <t>INV00007154</t>
        </is>
      </c>
      <c r="B449" t="inlineStr">
        <is>
          <t>contract_date_conflict</t>
        </is>
      </c>
      <c r="C449" t="inlineStr">
        <is>
          <t>medium</t>
        </is>
      </c>
      <c r="D449" s="14" t="n">
        <v>45413</v>
      </c>
      <c r="E449" t="inlineStr">
        <is>
          <t>C000502</t>
        </is>
      </c>
      <c r="F449" s="9" t="n">
        <v>390</v>
      </c>
      <c r="G449" t="inlineStr">
        <is>
          <t>Invoice date falls outside the linked contract</t>
        </is>
      </c>
    </row>
    <row r="450">
      <c r="A450" t="inlineStr">
        <is>
          <t>INV00007685</t>
        </is>
      </c>
      <c r="B450" t="inlineStr">
        <is>
          <t>contract_date_conflict</t>
        </is>
      </c>
      <c r="C450" t="inlineStr">
        <is>
          <t>medium</t>
        </is>
      </c>
      <c r="D450" s="14" t="n">
        <v>45413</v>
      </c>
      <c r="E450" t="inlineStr">
        <is>
          <t>C000540</t>
        </is>
      </c>
      <c r="F450" s="9" t="n">
        <v>195</v>
      </c>
      <c r="G450" t="inlineStr">
        <is>
          <t>Invoice date falls outside the linked contract</t>
        </is>
      </c>
    </row>
    <row r="451">
      <c r="A451" t="inlineStr">
        <is>
          <t>INV00007771</t>
        </is>
      </c>
      <c r="B451" t="inlineStr">
        <is>
          <t>contract_date_conflict</t>
        </is>
      </c>
      <c r="C451" t="inlineStr">
        <is>
          <t>medium</t>
        </is>
      </c>
      <c r="D451" s="14" t="n">
        <v>45413</v>
      </c>
      <c r="E451" t="inlineStr">
        <is>
          <t>C000548</t>
        </is>
      </c>
      <c r="F451" s="9" t="n">
        <v>195</v>
      </c>
      <c r="G451" t="inlineStr">
        <is>
          <t>Invoice date falls outside the linked contract</t>
        </is>
      </c>
    </row>
    <row r="452">
      <c r="A452" t="inlineStr">
        <is>
          <t>INV00007913</t>
        </is>
      </c>
      <c r="B452" t="inlineStr">
        <is>
          <t>contract_date_conflict</t>
        </is>
      </c>
      <c r="C452" t="inlineStr">
        <is>
          <t>medium</t>
        </is>
      </c>
      <c r="D452" s="14" t="n">
        <v>45413</v>
      </c>
      <c r="E452" t="inlineStr">
        <is>
          <t>C000563</t>
        </is>
      </c>
      <c r="F452" s="9" t="n">
        <v>234</v>
      </c>
      <c r="G452" t="inlineStr">
        <is>
          <t>Invoice date falls outside the linked contract</t>
        </is>
      </c>
    </row>
    <row r="453">
      <c r="A453" t="inlineStr">
        <is>
          <t>INV00008099</t>
        </is>
      </c>
      <c r="B453" t="inlineStr">
        <is>
          <t>contract_date_conflict</t>
        </is>
      </c>
      <c r="C453" t="inlineStr">
        <is>
          <t>medium</t>
        </is>
      </c>
      <c r="D453" s="14" t="n">
        <v>45413</v>
      </c>
      <c r="E453" t="inlineStr">
        <is>
          <t>C000574</t>
        </is>
      </c>
      <c r="F453" s="9" t="n">
        <v>1422</v>
      </c>
      <c r="G453" t="inlineStr">
        <is>
          <t>Invoice date falls outside the linked contract</t>
        </is>
      </c>
    </row>
    <row r="454">
      <c r="A454" t="inlineStr">
        <is>
          <t>INV00008723</t>
        </is>
      </c>
      <c r="B454" t="inlineStr">
        <is>
          <t>contract_date_conflict</t>
        </is>
      </c>
      <c r="C454" t="inlineStr">
        <is>
          <t>medium</t>
        </is>
      </c>
      <c r="D454" s="14" t="n">
        <v>45413</v>
      </c>
      <c r="E454" t="inlineStr">
        <is>
          <t>C000613</t>
        </is>
      </c>
      <c r="F454" s="9" t="n">
        <v>1919.7</v>
      </c>
      <c r="G454" t="inlineStr">
        <is>
          <t>Invoice date falls outside the linked contract</t>
        </is>
      </c>
    </row>
    <row r="455">
      <c r="A455" t="inlineStr">
        <is>
          <t>INV00009631</t>
        </is>
      </c>
      <c r="B455" t="inlineStr">
        <is>
          <t>contract_date_conflict</t>
        </is>
      </c>
      <c r="C455" t="inlineStr">
        <is>
          <t>medium</t>
        </is>
      </c>
      <c r="D455" s="14" t="n">
        <v>45413</v>
      </c>
      <c r="E455" t="inlineStr">
        <is>
          <t>C000678</t>
        </is>
      </c>
      <c r="F455" s="9" t="n">
        <v>1493.1</v>
      </c>
      <c r="G455" t="inlineStr">
        <is>
          <t>Invoice date falls outside the linked contract</t>
        </is>
      </c>
    </row>
    <row r="456">
      <c r="A456" t="inlineStr">
        <is>
          <t>INV00009651</t>
        </is>
      </c>
      <c r="B456" t="inlineStr">
        <is>
          <t>contract_date_conflict</t>
        </is>
      </c>
      <c r="C456" t="inlineStr">
        <is>
          <t>medium</t>
        </is>
      </c>
      <c r="D456" s="14" t="n">
        <v>45413</v>
      </c>
      <c r="E456" t="inlineStr">
        <is>
          <t>C000679</t>
        </is>
      </c>
      <c r="F456" s="9" t="n">
        <v>351</v>
      </c>
      <c r="G456" t="inlineStr">
        <is>
          <t>Invoice date falls outside the linked contract</t>
        </is>
      </c>
    </row>
    <row r="457">
      <c r="A457" t="inlineStr">
        <is>
          <t>INV00010144</t>
        </is>
      </c>
      <c r="B457" t="inlineStr">
        <is>
          <t>contract_date_conflict</t>
        </is>
      </c>
      <c r="C457" t="inlineStr">
        <is>
          <t>medium</t>
        </is>
      </c>
      <c r="D457" s="14" t="n">
        <v>45413</v>
      </c>
      <c r="E457" t="inlineStr">
        <is>
          <t>C000715</t>
        </is>
      </c>
      <c r="F457" s="9" t="n">
        <v>2686</v>
      </c>
      <c r="G457" t="inlineStr">
        <is>
          <t>Invoice date falls outside the linked contract</t>
        </is>
      </c>
    </row>
    <row r="458">
      <c r="A458" t="inlineStr">
        <is>
          <t>INV00010204</t>
        </is>
      </c>
      <c r="B458" t="inlineStr">
        <is>
          <t>contract_date_conflict</t>
        </is>
      </c>
      <c r="C458" t="inlineStr">
        <is>
          <t>medium</t>
        </is>
      </c>
      <c r="D458" s="14" t="n">
        <v>45413</v>
      </c>
      <c r="E458" t="inlineStr">
        <is>
          <t>C000719</t>
        </is>
      </c>
      <c r="F458" s="9" t="n">
        <v>3160</v>
      </c>
      <c r="G458" t="inlineStr">
        <is>
          <t>Invoice date falls outside the linked contract</t>
        </is>
      </c>
    </row>
    <row r="459">
      <c r="A459" t="inlineStr">
        <is>
          <t>INV00012076</t>
        </is>
      </c>
      <c r="B459" t="inlineStr">
        <is>
          <t>contract_date_conflict</t>
        </is>
      </c>
      <c r="C459" t="inlineStr">
        <is>
          <t>medium</t>
        </is>
      </c>
      <c r="D459" s="14" t="n">
        <v>45413</v>
      </c>
      <c r="E459" t="inlineStr">
        <is>
          <t>C000848</t>
        </is>
      </c>
      <c r="F459" s="9" t="n">
        <v>351</v>
      </c>
      <c r="G459" t="inlineStr">
        <is>
          <t>Invoice date falls outside the linked contract</t>
        </is>
      </c>
    </row>
    <row r="460">
      <c r="A460" t="inlineStr">
        <is>
          <t>INV00012501</t>
        </is>
      </c>
      <c r="B460" t="inlineStr">
        <is>
          <t>contract_date_conflict</t>
        </is>
      </c>
      <c r="C460" t="inlineStr">
        <is>
          <t>medium</t>
        </is>
      </c>
      <c r="D460" s="14" t="n">
        <v>45413</v>
      </c>
      <c r="E460" t="inlineStr">
        <is>
          <t>C000882</t>
        </is>
      </c>
      <c r="F460" s="9" t="n">
        <v>2417.4</v>
      </c>
      <c r="G460" t="inlineStr">
        <is>
          <t>Invoice date falls outside the linked contract</t>
        </is>
      </c>
    </row>
    <row r="461">
      <c r="A461" t="inlineStr">
        <is>
          <t>INV00013790</t>
        </is>
      </c>
      <c r="B461" t="inlineStr">
        <is>
          <t>contract_date_conflict</t>
        </is>
      </c>
      <c r="C461" t="inlineStr">
        <is>
          <t>medium</t>
        </is>
      </c>
      <c r="D461" s="14" t="n">
        <v>45413</v>
      </c>
      <c r="E461" t="inlineStr">
        <is>
          <t>C000976</t>
        </is>
      </c>
      <c r="F461" s="9" t="n">
        <v>1011.2</v>
      </c>
      <c r="G461" t="inlineStr">
        <is>
          <t>Invoice date falls outside the linked contract</t>
        </is>
      </c>
    </row>
    <row r="462">
      <c r="A462" t="inlineStr">
        <is>
          <t>INV00015096</t>
        </is>
      </c>
      <c r="B462" t="inlineStr">
        <is>
          <t>contract_date_conflict</t>
        </is>
      </c>
      <c r="C462" t="inlineStr">
        <is>
          <t>medium</t>
        </is>
      </c>
      <c r="D462" s="14" t="n">
        <v>45413</v>
      </c>
      <c r="E462" t="inlineStr">
        <is>
          <t>C001056</t>
        </is>
      </c>
      <c r="F462" s="9" t="n">
        <v>273</v>
      </c>
      <c r="G462" t="inlineStr">
        <is>
          <t>Invoice date falls outside the linked contract</t>
        </is>
      </c>
    </row>
    <row r="463">
      <c r="A463" t="inlineStr">
        <is>
          <t>INV00015540</t>
        </is>
      </c>
      <c r="B463" t="inlineStr">
        <is>
          <t>contract_date_conflict</t>
        </is>
      </c>
      <c r="C463" t="inlineStr">
        <is>
          <t>medium</t>
        </is>
      </c>
      <c r="D463" s="14" t="n">
        <v>45413</v>
      </c>
      <c r="E463" t="inlineStr">
        <is>
          <t>C001080</t>
        </is>
      </c>
      <c r="F463" s="9" t="n">
        <v>315.9</v>
      </c>
      <c r="G463" t="inlineStr">
        <is>
          <t>Invoice date falls outside the linked contract</t>
        </is>
      </c>
    </row>
    <row r="464">
      <c r="A464" t="inlineStr">
        <is>
          <t>INV00016167</t>
        </is>
      </c>
      <c r="B464" t="inlineStr">
        <is>
          <t>contract_date_conflict</t>
        </is>
      </c>
      <c r="C464" t="inlineStr">
        <is>
          <t>medium</t>
        </is>
      </c>
      <c r="D464" s="14" t="n">
        <v>45413</v>
      </c>
      <c r="E464" t="inlineStr">
        <is>
          <t>C001129</t>
        </is>
      </c>
      <c r="F464" s="9" t="n">
        <v>195</v>
      </c>
      <c r="G464" t="inlineStr">
        <is>
          <t>Invoice date falls outside the linked contract</t>
        </is>
      </c>
    </row>
    <row r="465">
      <c r="A465" t="inlineStr">
        <is>
          <t>INV00017223</t>
        </is>
      </c>
      <c r="B465" t="inlineStr">
        <is>
          <t>contract_date_conflict</t>
        </is>
      </c>
      <c r="C465" t="inlineStr">
        <is>
          <t>medium</t>
        </is>
      </c>
      <c r="D465" s="14" t="n">
        <v>45413</v>
      </c>
      <c r="E465" t="inlineStr">
        <is>
          <t>C001193</t>
        </is>
      </c>
      <c r="F465" s="9" t="n">
        <v>1580</v>
      </c>
      <c r="G465" t="inlineStr">
        <is>
          <t>Invoice date falls outside the linked contract</t>
        </is>
      </c>
    </row>
    <row r="466">
      <c r="A466" t="inlineStr">
        <is>
          <t>INV00000197</t>
        </is>
      </c>
      <c r="B466" t="inlineStr">
        <is>
          <t>contract_date_conflict</t>
        </is>
      </c>
      <c r="C466" t="inlineStr">
        <is>
          <t>medium</t>
        </is>
      </c>
      <c r="D466" s="14" t="n">
        <v>45444</v>
      </c>
      <c r="E466" t="inlineStr">
        <is>
          <t>C000018</t>
        </is>
      </c>
      <c r="F466" s="9" t="n">
        <v>195</v>
      </c>
      <c r="G466" t="inlineStr">
        <is>
          <t>Invoice date falls outside the linked contract</t>
        </is>
      </c>
    </row>
    <row r="467">
      <c r="A467" t="inlineStr">
        <is>
          <t>INV00000841</t>
        </is>
      </c>
      <c r="B467" t="inlineStr">
        <is>
          <t>contract_date_conflict</t>
        </is>
      </c>
      <c r="C467" t="inlineStr">
        <is>
          <t>medium</t>
        </is>
      </c>
      <c r="D467" s="14" t="n">
        <v>45444</v>
      </c>
      <c r="E467" t="inlineStr">
        <is>
          <t>C000051</t>
        </is>
      </c>
      <c r="F467" s="9" t="n">
        <v>468</v>
      </c>
      <c r="G467" t="inlineStr">
        <is>
          <t>Invoice date falls outside the linked contract</t>
        </is>
      </c>
    </row>
    <row r="468">
      <c r="A468" t="inlineStr">
        <is>
          <t>INV00001193</t>
        </is>
      </c>
      <c r="B468" t="inlineStr">
        <is>
          <t>contract_date_conflict</t>
        </is>
      </c>
      <c r="C468" t="inlineStr">
        <is>
          <t>medium</t>
        </is>
      </c>
      <c r="D468" s="14" t="n">
        <v>45444</v>
      </c>
      <c r="E468" t="inlineStr">
        <is>
          <t>C000078</t>
        </is>
      </c>
      <c r="F468" s="9" t="n">
        <v>1919.7</v>
      </c>
      <c r="G468" t="inlineStr">
        <is>
          <t>Invoice date falls outside the linked contract</t>
        </is>
      </c>
    </row>
    <row r="469">
      <c r="A469" t="inlineStr">
        <is>
          <t>INV00002407</t>
        </is>
      </c>
      <c r="B469" t="inlineStr">
        <is>
          <t>contract_date_conflict</t>
        </is>
      </c>
      <c r="C469" t="inlineStr">
        <is>
          <t>medium</t>
        </is>
      </c>
      <c r="D469" s="14" t="n">
        <v>45444</v>
      </c>
      <c r="E469" t="inlineStr">
        <is>
          <t>C000169</t>
        </is>
      </c>
      <c r="F469" s="9" t="n">
        <v>195</v>
      </c>
      <c r="G469" t="inlineStr">
        <is>
          <t>Invoice date falls outside the linked contract</t>
        </is>
      </c>
    </row>
    <row r="470">
      <c r="A470" t="inlineStr">
        <is>
          <t>INV00003261</t>
        </is>
      </c>
      <c r="B470" t="inlineStr">
        <is>
          <t>contract_date_conflict</t>
        </is>
      </c>
      <c r="C470" t="inlineStr">
        <is>
          <t>medium</t>
        </is>
      </c>
      <c r="D470" s="14" t="n">
        <v>45444</v>
      </c>
      <c r="E470" t="inlineStr">
        <is>
          <t>C000238</t>
        </is>
      </c>
      <c r="F470" s="9" t="n">
        <v>1279.8</v>
      </c>
      <c r="G470" t="inlineStr">
        <is>
          <t>Invoice date falls outside the linked contract</t>
        </is>
      </c>
    </row>
    <row r="471">
      <c r="A471" t="inlineStr">
        <is>
          <t>INV00003940</t>
        </is>
      </c>
      <c r="B471" t="inlineStr">
        <is>
          <t>contract_date_conflict</t>
        </is>
      </c>
      <c r="C471" t="inlineStr">
        <is>
          <t>medium</t>
        </is>
      </c>
      <c r="D471" s="14" t="n">
        <v>45444</v>
      </c>
      <c r="E471" t="inlineStr">
        <is>
          <t>C000292</t>
        </is>
      </c>
      <c r="F471" s="9" t="n">
        <v>1659</v>
      </c>
      <c r="G471" t="inlineStr">
        <is>
          <t>Invoice date falls outside the linked contract</t>
        </is>
      </c>
    </row>
    <row r="472">
      <c r="A472" t="inlineStr">
        <is>
          <t>INV00004923</t>
        </is>
      </c>
      <c r="B472" t="inlineStr">
        <is>
          <t>contract_date_conflict</t>
        </is>
      </c>
      <c r="C472" t="inlineStr">
        <is>
          <t>medium</t>
        </is>
      </c>
      <c r="D472" s="14" t="n">
        <v>45444</v>
      </c>
      <c r="E472" t="inlineStr">
        <is>
          <t>C000358</t>
        </is>
      </c>
      <c r="F472" s="9" t="n">
        <v>405.6</v>
      </c>
      <c r="G472" t="inlineStr">
        <is>
          <t>Invoice date falls outside the linked contract</t>
        </is>
      </c>
    </row>
    <row r="473">
      <c r="A473" t="inlineStr">
        <is>
          <t>INV00005951</t>
        </is>
      </c>
      <c r="B473" t="inlineStr">
        <is>
          <t>contract_date_conflict</t>
        </is>
      </c>
      <c r="C473" t="inlineStr">
        <is>
          <t>medium</t>
        </is>
      </c>
      <c r="D473" s="14" t="n">
        <v>45444</v>
      </c>
      <c r="E473" t="inlineStr">
        <is>
          <t>C000424</t>
        </is>
      </c>
      <c r="F473" s="9" t="n">
        <v>6705</v>
      </c>
      <c r="G473" t="inlineStr">
        <is>
          <t>Invoice date falls outside the linked contract</t>
        </is>
      </c>
    </row>
    <row r="474">
      <c r="A474" t="inlineStr">
        <is>
          <t>INV00006011</t>
        </is>
      </c>
      <c r="B474" t="inlineStr">
        <is>
          <t>contract_date_conflict</t>
        </is>
      </c>
      <c r="C474" t="inlineStr">
        <is>
          <t>medium</t>
        </is>
      </c>
      <c r="D474" s="14" t="n">
        <v>45444</v>
      </c>
      <c r="E474" t="inlineStr">
        <is>
          <t>C000428</t>
        </is>
      </c>
      <c r="F474" s="9" t="n">
        <v>195</v>
      </c>
      <c r="G474" t="inlineStr">
        <is>
          <t>Invoice date falls outside the linked contract</t>
        </is>
      </c>
    </row>
    <row r="475">
      <c r="A475" t="inlineStr">
        <is>
          <t>INV00006433</t>
        </is>
      </c>
      <c r="B475" t="inlineStr">
        <is>
          <t>contract_date_conflict</t>
        </is>
      </c>
      <c r="C475" t="inlineStr">
        <is>
          <t>medium</t>
        </is>
      </c>
      <c r="D475" s="14" t="n">
        <v>45444</v>
      </c>
      <c r="E475" t="inlineStr">
        <is>
          <t>C000457</t>
        </is>
      </c>
      <c r="F475" s="9" t="n">
        <v>1580</v>
      </c>
      <c r="G475" t="inlineStr">
        <is>
          <t>Invoice date falls outside the linked contract</t>
        </is>
      </c>
    </row>
    <row r="476">
      <c r="A476" t="inlineStr">
        <is>
          <t>INV00007811</t>
        </is>
      </c>
      <c r="B476" t="inlineStr">
        <is>
          <t>contract_date_conflict</t>
        </is>
      </c>
      <c r="C476" t="inlineStr">
        <is>
          <t>medium</t>
        </is>
      </c>
      <c r="D476" s="14" t="n">
        <v>45444</v>
      </c>
      <c r="E476" t="inlineStr">
        <is>
          <t>C000555</t>
        </is>
      </c>
      <c r="F476" s="9" t="n">
        <v>198.9</v>
      </c>
      <c r="G476" t="inlineStr">
        <is>
          <t>Invoice date falls outside the linked contract</t>
        </is>
      </c>
    </row>
    <row r="477">
      <c r="A477" t="inlineStr">
        <is>
          <t>INV00008648</t>
        </is>
      </c>
      <c r="B477" t="inlineStr">
        <is>
          <t>contract_date_conflict</t>
        </is>
      </c>
      <c r="C477" t="inlineStr">
        <is>
          <t>medium</t>
        </is>
      </c>
      <c r="D477" s="14" t="n">
        <v>45444</v>
      </c>
      <c r="E477" t="inlineStr">
        <is>
          <t>C000609</t>
        </is>
      </c>
      <c r="F477" s="9" t="n">
        <v>12069</v>
      </c>
      <c r="G477" t="inlineStr">
        <is>
          <t>Invoice date falls outside the linked contract</t>
        </is>
      </c>
    </row>
    <row r="478">
      <c r="A478" t="inlineStr">
        <is>
          <t>INV00008959</t>
        </is>
      </c>
      <c r="B478" t="inlineStr">
        <is>
          <t>contract_date_conflict</t>
        </is>
      </c>
      <c r="C478" t="inlineStr">
        <is>
          <t>medium</t>
        </is>
      </c>
      <c r="D478" s="14" t="n">
        <v>45444</v>
      </c>
      <c r="E478" t="inlineStr">
        <is>
          <t>C000630</t>
        </is>
      </c>
      <c r="F478" s="9" t="n">
        <v>234</v>
      </c>
      <c r="G478" t="inlineStr">
        <is>
          <t>Invoice date falls outside the linked contract</t>
        </is>
      </c>
    </row>
    <row r="479">
      <c r="A479" t="inlineStr">
        <is>
          <t>INV00009769</t>
        </is>
      </c>
      <c r="B479" t="inlineStr">
        <is>
          <t>contract_date_conflict</t>
        </is>
      </c>
      <c r="C479" t="inlineStr">
        <is>
          <t>medium</t>
        </is>
      </c>
      <c r="D479" s="14" t="n">
        <v>45444</v>
      </c>
      <c r="E479" t="inlineStr">
        <is>
          <t>C000689</t>
        </is>
      </c>
      <c r="F479" s="9" t="n">
        <v>232.05</v>
      </c>
      <c r="G479" t="inlineStr">
        <is>
          <t>Invoice date falls outside the linked contract</t>
        </is>
      </c>
    </row>
    <row r="480">
      <c r="A480" t="inlineStr">
        <is>
          <t>INV00009881</t>
        </is>
      </c>
      <c r="B480" t="inlineStr">
        <is>
          <t>contract_date_conflict</t>
        </is>
      </c>
      <c r="C480" t="inlineStr">
        <is>
          <t>medium</t>
        </is>
      </c>
      <c r="D480" s="14" t="n">
        <v>45444</v>
      </c>
      <c r="E480" t="inlineStr">
        <is>
          <t>C000697</t>
        </is>
      </c>
      <c r="F480" s="9" t="n">
        <v>195</v>
      </c>
      <c r="G480" t="inlineStr">
        <is>
          <t>Invoice date falls outside the linked contract</t>
        </is>
      </c>
    </row>
    <row r="481">
      <c r="A481" t="inlineStr">
        <is>
          <t>INV00009945</t>
        </is>
      </c>
      <c r="B481" t="inlineStr">
        <is>
          <t>contract_date_conflict</t>
        </is>
      </c>
      <c r="C481" t="inlineStr">
        <is>
          <t>medium</t>
        </is>
      </c>
      <c r="D481" s="14" t="n">
        <v>45444</v>
      </c>
      <c r="E481" t="inlineStr">
        <is>
          <t>C000703</t>
        </is>
      </c>
      <c r="F481" s="9" t="n">
        <v>234</v>
      </c>
      <c r="G481" t="inlineStr">
        <is>
          <t>Invoice date falls outside the linked contract</t>
        </is>
      </c>
    </row>
    <row r="482">
      <c r="A482" t="inlineStr">
        <is>
          <t>INV00010265</t>
        </is>
      </c>
      <c r="B482" t="inlineStr">
        <is>
          <t>contract_date_conflict</t>
        </is>
      </c>
      <c r="C482" t="inlineStr">
        <is>
          <t>medium</t>
        </is>
      </c>
      <c r="D482" s="14" t="n">
        <v>45444</v>
      </c>
      <c r="E482" t="inlineStr">
        <is>
          <t>C000723</t>
        </is>
      </c>
      <c r="F482" s="9" t="n">
        <v>312</v>
      </c>
      <c r="G482" t="inlineStr">
        <is>
          <t>Invoice date falls outside the linked contract</t>
        </is>
      </c>
    </row>
    <row r="483">
      <c r="A483" t="inlineStr">
        <is>
          <t>INV00010840</t>
        </is>
      </c>
      <c r="B483" t="inlineStr">
        <is>
          <t>contract_date_conflict</t>
        </is>
      </c>
      <c r="C483" t="inlineStr">
        <is>
          <t>medium</t>
        </is>
      </c>
      <c r="D483" s="14" t="n">
        <v>45444</v>
      </c>
      <c r="E483" t="inlineStr">
        <is>
          <t>C000759</t>
        </is>
      </c>
      <c r="F483" s="9" t="n">
        <v>265.2</v>
      </c>
      <c r="G483" t="inlineStr">
        <is>
          <t>Invoice date falls outside the linked contract</t>
        </is>
      </c>
    </row>
    <row r="484">
      <c r="A484" t="inlineStr">
        <is>
          <t>INV00013066</t>
        </is>
      </c>
      <c r="B484" t="inlineStr">
        <is>
          <t>contract_date_conflict</t>
        </is>
      </c>
      <c r="C484" t="inlineStr">
        <is>
          <t>medium</t>
        </is>
      </c>
      <c r="D484" s="14" t="n">
        <v>45444</v>
      </c>
      <c r="E484" t="inlineStr">
        <is>
          <t>C000918</t>
        </is>
      </c>
      <c r="F484" s="9" t="n">
        <v>2133</v>
      </c>
      <c r="G484" t="inlineStr">
        <is>
          <t>Invoice date falls outside the linked contract</t>
        </is>
      </c>
    </row>
    <row r="485">
      <c r="A485" t="inlineStr">
        <is>
          <t>INV00014427</t>
        </is>
      </c>
      <c r="B485" t="inlineStr">
        <is>
          <t>contract_date_conflict</t>
        </is>
      </c>
      <c r="C485" t="inlineStr">
        <is>
          <t>medium</t>
        </is>
      </c>
      <c r="D485" s="14" t="n">
        <v>45444</v>
      </c>
      <c r="E485" t="inlineStr">
        <is>
          <t>C001010</t>
        </is>
      </c>
      <c r="F485" s="9" t="n">
        <v>156</v>
      </c>
      <c r="G485" t="inlineStr">
        <is>
          <t>Invoice date falls outside the linked contract</t>
        </is>
      </c>
    </row>
    <row r="486">
      <c r="A486" t="inlineStr">
        <is>
          <t>INV00015950</t>
        </is>
      </c>
      <c r="B486" t="inlineStr">
        <is>
          <t>contract_date_conflict</t>
        </is>
      </c>
      <c r="C486" t="inlineStr">
        <is>
          <t>medium</t>
        </is>
      </c>
      <c r="D486" s="14" t="n">
        <v>45444</v>
      </c>
      <c r="E486" t="inlineStr">
        <is>
          <t>C001107</t>
        </is>
      </c>
      <c r="F486" s="9" t="n">
        <v>1896</v>
      </c>
      <c r="G486" t="inlineStr">
        <is>
          <t>Invoice date falls outside the linked contract</t>
        </is>
      </c>
    </row>
    <row r="487">
      <c r="A487" t="inlineStr">
        <is>
          <t>INV00016343</t>
        </is>
      </c>
      <c r="B487" t="inlineStr">
        <is>
          <t>contract_date_conflict</t>
        </is>
      </c>
      <c r="C487" t="inlineStr">
        <is>
          <t>medium</t>
        </is>
      </c>
      <c r="D487" s="14" t="n">
        <v>45444</v>
      </c>
      <c r="E487" t="inlineStr">
        <is>
          <t>C001139</t>
        </is>
      </c>
      <c r="F487" s="9" t="n">
        <v>312</v>
      </c>
      <c r="G487" t="inlineStr">
        <is>
          <t>Invoice date falls outside the linked contract</t>
        </is>
      </c>
    </row>
    <row r="488">
      <c r="A488" t="inlineStr">
        <is>
          <t>INV00017048</t>
        </is>
      </c>
      <c r="B488" t="inlineStr">
        <is>
          <t>contract_date_conflict</t>
        </is>
      </c>
      <c r="C488" t="inlineStr">
        <is>
          <t>medium</t>
        </is>
      </c>
      <c r="D488" s="14" t="n">
        <v>45444</v>
      </c>
      <c r="E488" t="inlineStr">
        <is>
          <t>C001184</t>
        </is>
      </c>
      <c r="F488" s="9" t="n">
        <v>3871</v>
      </c>
      <c r="G488" t="inlineStr">
        <is>
          <t>Invoice date falls outside the linked contract</t>
        </is>
      </c>
    </row>
    <row r="489">
      <c r="A489" t="inlineStr">
        <is>
          <t>INV00000458</t>
        </is>
      </c>
      <c r="B489" t="inlineStr">
        <is>
          <t>contract_date_conflict</t>
        </is>
      </c>
      <c r="C489" t="inlineStr">
        <is>
          <t>medium</t>
        </is>
      </c>
      <c r="D489" s="14" t="n">
        <v>45474</v>
      </c>
      <c r="E489" t="inlineStr">
        <is>
          <t>C000032</t>
        </is>
      </c>
      <c r="F489" s="9" t="n">
        <v>234</v>
      </c>
      <c r="G489" t="inlineStr">
        <is>
          <t>Invoice date falls outside the linked contract</t>
        </is>
      </c>
    </row>
    <row r="490">
      <c r="A490" t="inlineStr">
        <is>
          <t>INV00000589</t>
        </is>
      </c>
      <c r="B490" t="inlineStr">
        <is>
          <t>contract_date_conflict</t>
        </is>
      </c>
      <c r="C490" t="inlineStr">
        <is>
          <t>medium</t>
        </is>
      </c>
      <c r="D490" s="14" t="n">
        <v>45474</v>
      </c>
      <c r="E490" t="inlineStr">
        <is>
          <t>C000041</t>
        </is>
      </c>
      <c r="F490" s="9" t="n">
        <v>1896</v>
      </c>
      <c r="G490" t="inlineStr">
        <is>
          <t>Invoice date falls outside the linked contract</t>
        </is>
      </c>
    </row>
    <row r="491">
      <c r="A491" t="inlineStr">
        <is>
          <t>INV00000887</t>
        </is>
      </c>
      <c r="B491" t="inlineStr">
        <is>
          <t>contract_date_conflict</t>
        </is>
      </c>
      <c r="C491" t="inlineStr">
        <is>
          <t>medium</t>
        </is>
      </c>
      <c r="D491" s="14" t="n">
        <v>45474</v>
      </c>
      <c r="E491" t="inlineStr">
        <is>
          <t>C000054</t>
        </is>
      </c>
      <c r="F491" s="9" t="n">
        <v>234</v>
      </c>
      <c r="G491" t="inlineStr">
        <is>
          <t>Invoice date falls outside the linked contract</t>
        </is>
      </c>
    </row>
    <row r="492">
      <c r="A492" t="inlineStr">
        <is>
          <t>INV00001212</t>
        </is>
      </c>
      <c r="B492" t="inlineStr">
        <is>
          <t>contract_date_conflict</t>
        </is>
      </c>
      <c r="C492" t="inlineStr">
        <is>
          <t>medium</t>
        </is>
      </c>
      <c r="D492" s="14" t="n">
        <v>45474</v>
      </c>
      <c r="E492" t="inlineStr">
        <is>
          <t>C000079</t>
        </is>
      </c>
      <c r="F492" s="9" t="n">
        <v>1066.5</v>
      </c>
      <c r="G492" t="inlineStr">
        <is>
          <t>Invoice date falls outside the linked contract</t>
        </is>
      </c>
    </row>
    <row r="493">
      <c r="A493" t="inlineStr">
        <is>
          <t>INV00001614</t>
        </is>
      </c>
      <c r="B493" t="inlineStr">
        <is>
          <t>contract_date_conflict</t>
        </is>
      </c>
      <c r="C493" t="inlineStr">
        <is>
          <t>medium</t>
        </is>
      </c>
      <c r="D493" s="14" t="n">
        <v>45474</v>
      </c>
      <c r="E493" t="inlineStr">
        <is>
          <t>C000108</t>
        </is>
      </c>
      <c r="F493" s="9" t="n">
        <v>1516.8</v>
      </c>
      <c r="G493" t="inlineStr">
        <is>
          <t>Invoice date falls outside the linked contract</t>
        </is>
      </c>
    </row>
    <row r="494">
      <c r="A494" t="inlineStr">
        <is>
          <t>INV00001876</t>
        </is>
      </c>
      <c r="B494" t="inlineStr">
        <is>
          <t>contract_date_conflict</t>
        </is>
      </c>
      <c r="C494" t="inlineStr">
        <is>
          <t>medium</t>
        </is>
      </c>
      <c r="D494" s="14" t="n">
        <v>45474</v>
      </c>
      <c r="E494" t="inlineStr">
        <is>
          <t>C000125</t>
        </is>
      </c>
      <c r="F494" s="9" t="n">
        <v>390</v>
      </c>
      <c r="G494" t="inlineStr">
        <is>
          <t>Invoice date falls outside the linked contract</t>
        </is>
      </c>
    </row>
    <row r="495">
      <c r="A495" t="inlineStr">
        <is>
          <t>INV00002628</t>
        </is>
      </c>
      <c r="B495" t="inlineStr">
        <is>
          <t>contract_date_conflict</t>
        </is>
      </c>
      <c r="C495" t="inlineStr">
        <is>
          <t>medium</t>
        </is>
      </c>
      <c r="D495" s="14" t="n">
        <v>45474</v>
      </c>
      <c r="E495" t="inlineStr">
        <is>
          <t>C000187</t>
        </is>
      </c>
      <c r="F495" s="9" t="n">
        <v>1185</v>
      </c>
      <c r="G495" t="inlineStr">
        <is>
          <t>Invoice date falls outside the linked contract</t>
        </is>
      </c>
    </row>
    <row r="496">
      <c r="A496" t="inlineStr">
        <is>
          <t>INV00003694</t>
        </is>
      </c>
      <c r="B496" t="inlineStr">
        <is>
          <t>contract_date_conflict</t>
        </is>
      </c>
      <c r="C496" t="inlineStr">
        <is>
          <t>medium</t>
        </is>
      </c>
      <c r="D496" s="14" t="n">
        <v>45474</v>
      </c>
      <c r="E496" t="inlineStr">
        <is>
          <t>C000271</t>
        </is>
      </c>
      <c r="F496" s="9" t="n">
        <v>8642</v>
      </c>
      <c r="G496" t="inlineStr">
        <is>
          <t>Invoice date falls outside the linked contract</t>
        </is>
      </c>
    </row>
    <row r="497">
      <c r="A497" t="inlineStr">
        <is>
          <t>INV00004067</t>
        </is>
      </c>
      <c r="B497" t="inlineStr">
        <is>
          <t>contract_date_conflict</t>
        </is>
      </c>
      <c r="C497" t="inlineStr">
        <is>
          <t>medium</t>
        </is>
      </c>
      <c r="D497" s="14" t="n">
        <v>45474</v>
      </c>
      <c r="E497" t="inlineStr">
        <is>
          <t>C000303</t>
        </is>
      </c>
      <c r="F497" s="9" t="n">
        <v>1185</v>
      </c>
      <c r="G497" t="inlineStr">
        <is>
          <t>Invoice date falls outside the linked contract</t>
        </is>
      </c>
    </row>
    <row r="498">
      <c r="A498" t="inlineStr">
        <is>
          <t>INV00004665</t>
        </is>
      </c>
      <c r="B498" t="inlineStr">
        <is>
          <t>contract_date_conflict</t>
        </is>
      </c>
      <c r="C498" t="inlineStr">
        <is>
          <t>medium</t>
        </is>
      </c>
      <c r="D498" s="14" t="n">
        <v>45474</v>
      </c>
      <c r="E498" t="inlineStr">
        <is>
          <t>C000345</t>
        </is>
      </c>
      <c r="F498" s="9" t="n">
        <v>280.8</v>
      </c>
      <c r="G498" t="inlineStr">
        <is>
          <t>Invoice date falls outside the linked contract</t>
        </is>
      </c>
    </row>
    <row r="499">
      <c r="A499" t="inlineStr">
        <is>
          <t>INV00005261</t>
        </is>
      </c>
      <c r="B499" t="inlineStr">
        <is>
          <t>contract_date_conflict</t>
        </is>
      </c>
      <c r="C499" t="inlineStr">
        <is>
          <t>medium</t>
        </is>
      </c>
      <c r="D499" s="14" t="n">
        <v>45474</v>
      </c>
      <c r="E499" t="inlineStr">
        <is>
          <t>C000381</t>
        </is>
      </c>
      <c r="F499" s="9" t="n">
        <v>1275.85</v>
      </c>
      <c r="G499" t="inlineStr">
        <is>
          <t>Invoice date falls outside the linked contract</t>
        </is>
      </c>
    </row>
    <row r="500">
      <c r="A500" t="inlineStr">
        <is>
          <t>INV00006137</t>
        </is>
      </c>
      <c r="B500" t="inlineStr">
        <is>
          <t>contract_date_conflict</t>
        </is>
      </c>
      <c r="C500" t="inlineStr">
        <is>
          <t>medium</t>
        </is>
      </c>
      <c r="D500" s="14" t="n">
        <v>45474</v>
      </c>
      <c r="E500" t="inlineStr">
        <is>
          <t>C000438</t>
        </is>
      </c>
      <c r="F500" s="9" t="n">
        <v>429</v>
      </c>
      <c r="G500" t="inlineStr">
        <is>
          <t>Invoice date falls outside the linked contract</t>
        </is>
      </c>
    </row>
    <row r="501">
      <c r="A501" t="inlineStr">
        <is>
          <t>INV00006295</t>
        </is>
      </c>
      <c r="B501" t="inlineStr">
        <is>
          <t>contract_date_conflict</t>
        </is>
      </c>
      <c r="C501" t="inlineStr">
        <is>
          <t>medium</t>
        </is>
      </c>
      <c r="D501" s="14" t="n">
        <v>45474</v>
      </c>
      <c r="E501" t="inlineStr">
        <is>
          <t>C000449</t>
        </is>
      </c>
      <c r="F501" s="9" t="n">
        <v>1066.5</v>
      </c>
      <c r="G501" t="inlineStr">
        <is>
          <t>Invoice date falls outside the linked contract</t>
        </is>
      </c>
    </row>
    <row r="502">
      <c r="A502" t="inlineStr">
        <is>
          <t>INV00006373</t>
        </is>
      </c>
      <c r="B502" t="inlineStr">
        <is>
          <t>contract_date_conflict</t>
        </is>
      </c>
      <c r="C502" t="inlineStr">
        <is>
          <t>medium</t>
        </is>
      </c>
      <c r="D502" s="14" t="n">
        <v>45474</v>
      </c>
      <c r="E502" t="inlineStr">
        <is>
          <t>C000454</t>
        </is>
      </c>
      <c r="F502" s="9" t="n">
        <v>468</v>
      </c>
      <c r="G502" t="inlineStr">
        <is>
          <t>Invoice date falls outside the linked contract</t>
        </is>
      </c>
    </row>
    <row r="503">
      <c r="A503" t="inlineStr">
        <is>
          <t>INV00007202</t>
        </is>
      </c>
      <c r="B503" t="inlineStr">
        <is>
          <t>contract_date_conflict</t>
        </is>
      </c>
      <c r="C503" t="inlineStr">
        <is>
          <t>medium</t>
        </is>
      </c>
      <c r="D503" s="14" t="n">
        <v>45474</v>
      </c>
      <c r="E503" t="inlineStr">
        <is>
          <t>C000504</t>
        </is>
      </c>
      <c r="F503" s="9" t="n">
        <v>2370</v>
      </c>
      <c r="G503" t="inlineStr">
        <is>
          <t>Invoice date falls outside the linked contract</t>
        </is>
      </c>
    </row>
    <row r="504">
      <c r="A504" t="inlineStr">
        <is>
          <t>INV00007567</t>
        </is>
      </c>
      <c r="B504" t="inlineStr">
        <is>
          <t>contract_date_conflict</t>
        </is>
      </c>
      <c r="C504" t="inlineStr">
        <is>
          <t>medium</t>
        </is>
      </c>
      <c r="D504" s="14" t="n">
        <v>45474</v>
      </c>
      <c r="E504" t="inlineStr">
        <is>
          <t>C000530</t>
        </is>
      </c>
      <c r="F504" s="9" t="n">
        <v>195</v>
      </c>
      <c r="G504" t="inlineStr">
        <is>
          <t>Invoice date falls outside the linked contract</t>
        </is>
      </c>
    </row>
    <row r="505">
      <c r="A505" t="inlineStr">
        <is>
          <t>INV00007734</t>
        </is>
      </c>
      <c r="B505" t="inlineStr">
        <is>
          <t>contract_date_conflict</t>
        </is>
      </c>
      <c r="C505" t="inlineStr">
        <is>
          <t>medium</t>
        </is>
      </c>
      <c r="D505" s="14" t="n">
        <v>45474</v>
      </c>
      <c r="E505" t="inlineStr">
        <is>
          <t>C000544</t>
        </is>
      </c>
      <c r="F505" s="9" t="n">
        <v>312</v>
      </c>
      <c r="G505" t="inlineStr">
        <is>
          <t>Invoice date falls outside the linked contract</t>
        </is>
      </c>
    </row>
    <row r="506">
      <c r="A506" t="inlineStr">
        <is>
          <t>INV00009286</t>
        </is>
      </c>
      <c r="B506" t="inlineStr">
        <is>
          <t>contract_date_conflict</t>
        </is>
      </c>
      <c r="C506" t="inlineStr">
        <is>
          <t>medium</t>
        </is>
      </c>
      <c r="D506" s="14" t="n">
        <v>45474</v>
      </c>
      <c r="E506" t="inlineStr">
        <is>
          <t>C000653</t>
        </is>
      </c>
      <c r="F506" s="9" t="n">
        <v>265.2</v>
      </c>
      <c r="G506" t="inlineStr">
        <is>
          <t>Invoice date falls outside the linked contract</t>
        </is>
      </c>
    </row>
    <row r="507">
      <c r="A507" t="inlineStr">
        <is>
          <t>INV00009394</t>
        </is>
      </c>
      <c r="B507" t="inlineStr">
        <is>
          <t>contract_date_conflict</t>
        </is>
      </c>
      <c r="C507" t="inlineStr">
        <is>
          <t>medium</t>
        </is>
      </c>
      <c r="D507" s="14" t="n">
        <v>45474</v>
      </c>
      <c r="E507" t="inlineStr">
        <is>
          <t>C000662</t>
        </is>
      </c>
      <c r="F507" s="9" t="n">
        <v>1066.5</v>
      </c>
      <c r="G507" t="inlineStr">
        <is>
          <t>Invoice date falls outside the linked contract</t>
        </is>
      </c>
    </row>
    <row r="508">
      <c r="A508" t="inlineStr">
        <is>
          <t>INV00009474</t>
        </is>
      </c>
      <c r="B508" t="inlineStr">
        <is>
          <t>contract_date_conflict</t>
        </is>
      </c>
      <c r="C508" t="inlineStr">
        <is>
          <t>medium</t>
        </is>
      </c>
      <c r="D508" s="14" t="n">
        <v>45474</v>
      </c>
      <c r="E508" t="inlineStr">
        <is>
          <t>C000667</t>
        </is>
      </c>
      <c r="F508" s="9" t="n">
        <v>2022.4</v>
      </c>
      <c r="G508" t="inlineStr">
        <is>
          <t>Invoice date falls outside the linked contract</t>
        </is>
      </c>
    </row>
    <row r="509">
      <c r="A509" t="inlineStr">
        <is>
          <t>INV00009565</t>
        </is>
      </c>
      <c r="B509" t="inlineStr">
        <is>
          <t>contract_date_conflict</t>
        </is>
      </c>
      <c r="C509" t="inlineStr">
        <is>
          <t>medium</t>
        </is>
      </c>
      <c r="D509" s="14" t="n">
        <v>45474</v>
      </c>
      <c r="E509" t="inlineStr">
        <is>
          <t>C000673</t>
        </is>
      </c>
      <c r="F509" s="9" t="n">
        <v>2607</v>
      </c>
      <c r="G509" t="inlineStr">
        <is>
          <t>Invoice date falls outside the linked contract</t>
        </is>
      </c>
    </row>
    <row r="510">
      <c r="A510" t="inlineStr">
        <is>
          <t>INV00009671</t>
        </is>
      </c>
      <c r="B510" t="inlineStr">
        <is>
          <t>contract_date_conflict</t>
        </is>
      </c>
      <c r="C510" t="inlineStr">
        <is>
          <t>medium</t>
        </is>
      </c>
      <c r="D510" s="14" t="n">
        <v>45474</v>
      </c>
      <c r="E510" t="inlineStr">
        <is>
          <t>C000681</t>
        </is>
      </c>
      <c r="F510" s="9" t="n">
        <v>468</v>
      </c>
      <c r="G510" t="inlineStr">
        <is>
          <t>Invoice date falls outside the linked contract</t>
        </is>
      </c>
    </row>
    <row r="511">
      <c r="A511" t="inlineStr">
        <is>
          <t>INV00009825</t>
        </is>
      </c>
      <c r="B511" t="inlineStr">
        <is>
          <t>contract_date_conflict</t>
        </is>
      </c>
      <c r="C511" t="inlineStr">
        <is>
          <t>medium</t>
        </is>
      </c>
      <c r="D511" s="14" t="n">
        <v>45474</v>
      </c>
      <c r="E511" t="inlineStr">
        <is>
          <t>C000693</t>
        </is>
      </c>
      <c r="F511" s="9" t="n">
        <v>312</v>
      </c>
      <c r="G511" t="inlineStr">
        <is>
          <t>Invoice date falls outside the linked contract</t>
        </is>
      </c>
    </row>
    <row r="512">
      <c r="A512" t="inlineStr">
        <is>
          <t>INV00010107</t>
        </is>
      </c>
      <c r="B512" t="inlineStr">
        <is>
          <t>contract_date_conflict</t>
        </is>
      </c>
      <c r="C512" t="inlineStr">
        <is>
          <t>medium</t>
        </is>
      </c>
      <c r="D512" s="14" t="n">
        <v>45474</v>
      </c>
      <c r="E512" t="inlineStr">
        <is>
          <t>C000711</t>
        </is>
      </c>
      <c r="F512" s="9" t="n">
        <v>234</v>
      </c>
      <c r="G512" t="inlineStr">
        <is>
          <t>Invoice date falls outside the linked contract</t>
        </is>
      </c>
    </row>
    <row r="513">
      <c r="A513" t="inlineStr">
        <is>
          <t>INV00010568</t>
        </is>
      </c>
      <c r="B513" t="inlineStr">
        <is>
          <t>contract_date_conflict</t>
        </is>
      </c>
      <c r="C513" t="inlineStr">
        <is>
          <t>medium</t>
        </is>
      </c>
      <c r="D513" s="14" t="n">
        <v>45474</v>
      </c>
      <c r="E513" t="inlineStr">
        <is>
          <t>C000740</t>
        </is>
      </c>
      <c r="F513" s="9" t="n">
        <v>9252.9</v>
      </c>
      <c r="G513" t="inlineStr">
        <is>
          <t>Invoice date falls outside the linked contract</t>
        </is>
      </c>
    </row>
    <row r="514">
      <c r="A514" t="inlineStr">
        <is>
          <t>INV00010767</t>
        </is>
      </c>
      <c r="B514" t="inlineStr">
        <is>
          <t>contract_date_conflict</t>
        </is>
      </c>
      <c r="C514" t="inlineStr">
        <is>
          <t>medium</t>
        </is>
      </c>
      <c r="D514" s="14" t="n">
        <v>45474</v>
      </c>
      <c r="E514" t="inlineStr">
        <is>
          <t>C000755</t>
        </is>
      </c>
      <c r="F514" s="9" t="n">
        <v>351</v>
      </c>
      <c r="G514" t="inlineStr">
        <is>
          <t>Invoice date falls outside the linked contract</t>
        </is>
      </c>
    </row>
    <row r="515">
      <c r="A515" t="inlineStr">
        <is>
          <t>INV00011631</t>
        </is>
      </c>
      <c r="B515" t="inlineStr">
        <is>
          <t>contract_date_conflict</t>
        </is>
      </c>
      <c r="C515" t="inlineStr">
        <is>
          <t>medium</t>
        </is>
      </c>
      <c r="D515" s="14" t="n">
        <v>45474</v>
      </c>
      <c r="E515" t="inlineStr">
        <is>
          <t>C000819</t>
        </is>
      </c>
      <c r="F515" s="9" t="n">
        <v>8351.450000000001</v>
      </c>
      <c r="G515" t="inlineStr">
        <is>
          <t>Invoice date falls outside the linked contract</t>
        </is>
      </c>
    </row>
    <row r="516">
      <c r="A516" t="inlineStr">
        <is>
          <t>INV00011867</t>
        </is>
      </c>
      <c r="B516" t="inlineStr">
        <is>
          <t>contract_date_conflict</t>
        </is>
      </c>
      <c r="C516" t="inlineStr">
        <is>
          <t>medium</t>
        </is>
      </c>
      <c r="D516" s="14" t="n">
        <v>45474</v>
      </c>
      <c r="E516" t="inlineStr">
        <is>
          <t>C000836</t>
        </is>
      </c>
      <c r="F516" s="9" t="n">
        <v>185.25</v>
      </c>
      <c r="G516" t="inlineStr">
        <is>
          <t>Invoice date falls outside the linked contract</t>
        </is>
      </c>
    </row>
    <row r="517">
      <c r="A517" t="inlineStr">
        <is>
          <t>INV00012252</t>
        </is>
      </c>
      <c r="B517" t="inlineStr">
        <is>
          <t>contract_date_conflict</t>
        </is>
      </c>
      <c r="C517" t="inlineStr">
        <is>
          <t>medium</t>
        </is>
      </c>
      <c r="D517" s="14" t="n">
        <v>45474</v>
      </c>
      <c r="E517" t="inlineStr">
        <is>
          <t>C000861</t>
        </is>
      </c>
      <c r="F517" s="9" t="n">
        <v>195</v>
      </c>
      <c r="G517" t="inlineStr">
        <is>
          <t>Invoice date falls outside the linked contract</t>
        </is>
      </c>
    </row>
    <row r="518">
      <c r="A518" t="inlineStr">
        <is>
          <t>INV00012354</t>
        </is>
      </c>
      <c r="B518" t="inlineStr">
        <is>
          <t>contract_date_conflict</t>
        </is>
      </c>
      <c r="C518" t="inlineStr">
        <is>
          <t>medium</t>
        </is>
      </c>
      <c r="D518" s="14" t="n">
        <v>45474</v>
      </c>
      <c r="E518" t="inlineStr">
        <is>
          <t>C000872</t>
        </is>
      </c>
      <c r="F518" s="9" t="n">
        <v>351</v>
      </c>
      <c r="G518" t="inlineStr">
        <is>
          <t>Invoice date falls outside the linked contract</t>
        </is>
      </c>
    </row>
    <row r="519">
      <c r="A519" t="inlineStr">
        <is>
          <t>INV00012642</t>
        </is>
      </c>
      <c r="B519" t="inlineStr">
        <is>
          <t>contract_date_conflict</t>
        </is>
      </c>
      <c r="C519" t="inlineStr">
        <is>
          <t>medium</t>
        </is>
      </c>
      <c r="D519" s="14" t="n">
        <v>45474</v>
      </c>
      <c r="E519" t="inlineStr">
        <is>
          <t>C000890</t>
        </is>
      </c>
      <c r="F519" s="9" t="n">
        <v>1066.5</v>
      </c>
      <c r="G519" t="inlineStr">
        <is>
          <t>Invoice date falls outside the linked contract</t>
        </is>
      </c>
    </row>
    <row r="520">
      <c r="A520" t="inlineStr">
        <is>
          <t>INV00012717</t>
        </is>
      </c>
      <c r="B520" t="inlineStr">
        <is>
          <t>contract_date_conflict</t>
        </is>
      </c>
      <c r="C520" t="inlineStr">
        <is>
          <t>medium</t>
        </is>
      </c>
      <c r="D520" s="14" t="n">
        <v>45474</v>
      </c>
      <c r="E520" t="inlineStr">
        <is>
          <t>C000896</t>
        </is>
      </c>
      <c r="F520" s="9" t="n">
        <v>198.9</v>
      </c>
      <c r="G520" t="inlineStr">
        <is>
          <t>Invoice date falls outside the linked contract</t>
        </is>
      </c>
    </row>
    <row r="521">
      <c r="A521" t="inlineStr">
        <is>
          <t>INV00015438</t>
        </is>
      </c>
      <c r="B521" t="inlineStr">
        <is>
          <t>contract_date_conflict</t>
        </is>
      </c>
      <c r="C521" t="inlineStr">
        <is>
          <t>medium</t>
        </is>
      </c>
      <c r="D521" s="14" t="n">
        <v>45474</v>
      </c>
      <c r="E521" t="inlineStr">
        <is>
          <t>C001075</t>
        </is>
      </c>
      <c r="F521" s="9" t="n">
        <v>1422</v>
      </c>
      <c r="G521" t="inlineStr">
        <is>
          <t>Invoice date falls outside the linked contract</t>
        </is>
      </c>
    </row>
    <row r="522">
      <c r="A522" t="inlineStr">
        <is>
          <t>INV00016290</t>
        </is>
      </c>
      <c r="B522" t="inlineStr">
        <is>
          <t>contract_date_conflict</t>
        </is>
      </c>
      <c r="C522" t="inlineStr">
        <is>
          <t>medium</t>
        </is>
      </c>
      <c r="D522" s="14" t="n">
        <v>45474</v>
      </c>
      <c r="E522" t="inlineStr">
        <is>
          <t>C001136</t>
        </is>
      </c>
      <c r="F522" s="9" t="n">
        <v>245.7</v>
      </c>
      <c r="G522" t="inlineStr">
        <is>
          <t>Invoice date falls outside the linked contract</t>
        </is>
      </c>
    </row>
    <row r="523">
      <c r="A523" t="inlineStr">
        <is>
          <t>INV00016471</t>
        </is>
      </c>
      <c r="B523" t="inlineStr">
        <is>
          <t>contract_date_conflict</t>
        </is>
      </c>
      <c r="C523" t="inlineStr">
        <is>
          <t>medium</t>
        </is>
      </c>
      <c r="D523" s="14" t="n">
        <v>45474</v>
      </c>
      <c r="E523" t="inlineStr">
        <is>
          <t>C001149</t>
        </is>
      </c>
      <c r="F523" s="9" t="n">
        <v>175.5</v>
      </c>
      <c r="G523" t="inlineStr">
        <is>
          <t>Invoice date falls outside the linked contract</t>
        </is>
      </c>
    </row>
    <row r="524">
      <c r="A524" t="inlineStr">
        <is>
          <t>INV00000113</t>
        </is>
      </c>
      <c r="B524" t="inlineStr">
        <is>
          <t>contract_date_conflict</t>
        </is>
      </c>
      <c r="C524" t="inlineStr">
        <is>
          <t>medium</t>
        </is>
      </c>
      <c r="D524" s="14" t="n">
        <v>45505</v>
      </c>
      <c r="E524" t="inlineStr">
        <is>
          <t>C000010</t>
        </is>
      </c>
      <c r="F524" s="9" t="n">
        <v>1185</v>
      </c>
      <c r="G524" t="inlineStr">
        <is>
          <t>Invoice date falls outside the linked contract</t>
        </is>
      </c>
    </row>
    <row r="525">
      <c r="A525" t="inlineStr">
        <is>
          <t>INV00000870</t>
        </is>
      </c>
      <c r="B525" t="inlineStr">
        <is>
          <t>contract_date_conflict</t>
        </is>
      </c>
      <c r="C525" t="inlineStr">
        <is>
          <t>medium</t>
        </is>
      </c>
      <c r="D525" s="14" t="n">
        <v>45505</v>
      </c>
      <c r="E525" t="inlineStr">
        <is>
          <t>C000053</t>
        </is>
      </c>
      <c r="F525" s="9" t="n">
        <v>1635.3</v>
      </c>
      <c r="G525" t="inlineStr">
        <is>
          <t>Invoice date falls outside the linked contract</t>
        </is>
      </c>
    </row>
    <row r="526">
      <c r="A526" t="inlineStr">
        <is>
          <t>INV00001412</t>
        </is>
      </c>
      <c r="B526" t="inlineStr">
        <is>
          <t>contract_date_conflict</t>
        </is>
      </c>
      <c r="C526" t="inlineStr">
        <is>
          <t>medium</t>
        </is>
      </c>
      <c r="D526" s="14" t="n">
        <v>45505</v>
      </c>
      <c r="E526" t="inlineStr">
        <is>
          <t>C000092</t>
        </is>
      </c>
      <c r="F526" s="9" t="n">
        <v>1564.2</v>
      </c>
      <c r="G526" t="inlineStr">
        <is>
          <t>Invoice date falls outside the linked contract</t>
        </is>
      </c>
    </row>
    <row r="527">
      <c r="A527" t="inlineStr">
        <is>
          <t>INV00001675</t>
        </is>
      </c>
      <c r="B527" t="inlineStr">
        <is>
          <t>contract_date_conflict</t>
        </is>
      </c>
      <c r="C527" t="inlineStr">
        <is>
          <t>medium</t>
        </is>
      </c>
      <c r="D527" s="14" t="n">
        <v>45505</v>
      </c>
      <c r="E527" t="inlineStr">
        <is>
          <t>C000112</t>
        </is>
      </c>
      <c r="F527" s="9" t="n">
        <v>10579</v>
      </c>
      <c r="G527" t="inlineStr">
        <is>
          <t>Invoice date falls outside the linked contract</t>
        </is>
      </c>
    </row>
    <row r="528">
      <c r="A528" t="inlineStr">
        <is>
          <t>INV00002611</t>
        </is>
      </c>
      <c r="B528" t="inlineStr">
        <is>
          <t>contract_date_conflict</t>
        </is>
      </c>
      <c r="C528" t="inlineStr">
        <is>
          <t>medium</t>
        </is>
      </c>
      <c r="D528" s="14" t="n">
        <v>45505</v>
      </c>
      <c r="E528" t="inlineStr">
        <is>
          <t>C000186</t>
        </is>
      </c>
      <c r="F528" s="9" t="n">
        <v>1185</v>
      </c>
      <c r="G528" t="inlineStr">
        <is>
          <t>Invoice date falls outside the linked contract</t>
        </is>
      </c>
    </row>
    <row r="529">
      <c r="A529" t="inlineStr">
        <is>
          <t>INV00002670</t>
        </is>
      </c>
      <c r="B529" t="inlineStr">
        <is>
          <t>contract_date_conflict</t>
        </is>
      </c>
      <c r="C529" t="inlineStr">
        <is>
          <t>medium</t>
        </is>
      </c>
      <c r="D529" s="14" t="n">
        <v>45505</v>
      </c>
      <c r="E529" t="inlineStr">
        <is>
          <t>C000191</t>
        </is>
      </c>
      <c r="F529" s="9" t="n">
        <v>1580</v>
      </c>
      <c r="G529" t="inlineStr">
        <is>
          <t>Invoice date falls outside the linked contract</t>
        </is>
      </c>
    </row>
    <row r="530">
      <c r="A530" t="inlineStr">
        <is>
          <t>INV00002836</t>
        </is>
      </c>
      <c r="B530" t="inlineStr">
        <is>
          <t>contract_date_conflict</t>
        </is>
      </c>
      <c r="C530" t="inlineStr">
        <is>
          <t>medium</t>
        </is>
      </c>
      <c r="D530" s="14" t="n">
        <v>45505</v>
      </c>
      <c r="E530" t="inlineStr">
        <is>
          <t>C000204</t>
        </is>
      </c>
      <c r="F530" s="9" t="n">
        <v>2528</v>
      </c>
      <c r="G530" t="inlineStr">
        <is>
          <t>Invoice date falls outside the linked contract</t>
        </is>
      </c>
    </row>
    <row r="531">
      <c r="A531" t="inlineStr">
        <is>
          <t>INV00004170</t>
        </is>
      </c>
      <c r="B531" t="inlineStr">
        <is>
          <t>contract_date_conflict</t>
        </is>
      </c>
      <c r="C531" t="inlineStr">
        <is>
          <t>medium</t>
        </is>
      </c>
      <c r="D531" s="14" t="n">
        <v>45505</v>
      </c>
      <c r="E531" t="inlineStr">
        <is>
          <t>C000310</t>
        </is>
      </c>
      <c r="F531" s="9" t="n">
        <v>1185</v>
      </c>
      <c r="G531" t="inlineStr">
        <is>
          <t>Invoice date falls outside the linked contract</t>
        </is>
      </c>
    </row>
    <row r="532">
      <c r="A532" t="inlineStr">
        <is>
          <t>INV00004254</t>
        </is>
      </c>
      <c r="B532" t="inlineStr">
        <is>
          <t>contract_date_conflict</t>
        </is>
      </c>
      <c r="C532" t="inlineStr">
        <is>
          <t>medium</t>
        </is>
      </c>
      <c r="D532" s="14" t="n">
        <v>45505</v>
      </c>
      <c r="E532" t="inlineStr">
        <is>
          <t>C000319</t>
        </is>
      </c>
      <c r="F532" s="9" t="n">
        <v>1185</v>
      </c>
      <c r="G532" t="inlineStr">
        <is>
          <t>Invoice date falls outside the linked contract</t>
        </is>
      </c>
    </row>
    <row r="533">
      <c r="A533" t="inlineStr">
        <is>
          <t>INV00004436</t>
        </is>
      </c>
      <c r="B533" t="inlineStr">
        <is>
          <t>contract_date_conflict</t>
        </is>
      </c>
      <c r="C533" t="inlineStr">
        <is>
          <t>medium</t>
        </is>
      </c>
      <c r="D533" s="14" t="n">
        <v>45505</v>
      </c>
      <c r="E533" t="inlineStr">
        <is>
          <t>C000331</t>
        </is>
      </c>
      <c r="F533" s="9" t="n">
        <v>9655.200000000001</v>
      </c>
      <c r="G533" t="inlineStr">
        <is>
          <t>Invoice date falls outside the linked contract</t>
        </is>
      </c>
    </row>
    <row r="534">
      <c r="A534" t="inlineStr">
        <is>
          <t>INV00005401</t>
        </is>
      </c>
      <c r="B534" t="inlineStr">
        <is>
          <t>contract_date_conflict</t>
        </is>
      </c>
      <c r="C534" t="inlineStr">
        <is>
          <t>medium</t>
        </is>
      </c>
      <c r="D534" s="14" t="n">
        <v>45505</v>
      </c>
      <c r="E534" t="inlineStr">
        <is>
          <t>C000388</t>
        </is>
      </c>
      <c r="F534" s="9" t="n">
        <v>234</v>
      </c>
      <c r="G534" t="inlineStr">
        <is>
          <t>Invoice date falls outside the linked contract</t>
        </is>
      </c>
    </row>
    <row r="535">
      <c r="A535" t="inlineStr">
        <is>
          <t>INV00005513</t>
        </is>
      </c>
      <c r="B535" t="inlineStr">
        <is>
          <t>contract_date_conflict</t>
        </is>
      </c>
      <c r="C535" t="inlineStr">
        <is>
          <t>medium</t>
        </is>
      </c>
      <c r="D535" s="14" t="n">
        <v>45505</v>
      </c>
      <c r="E535" t="inlineStr">
        <is>
          <t>C000393</t>
        </is>
      </c>
      <c r="F535" s="9" t="n">
        <v>1564.2</v>
      </c>
      <c r="G535" t="inlineStr">
        <is>
          <t>Invoice date falls outside the linked contract</t>
        </is>
      </c>
    </row>
    <row r="536">
      <c r="A536" t="inlineStr">
        <is>
          <t>INV00005800</t>
        </is>
      </c>
      <c r="B536" t="inlineStr">
        <is>
          <t>contract_date_conflict</t>
        </is>
      </c>
      <c r="C536" t="inlineStr">
        <is>
          <t>medium</t>
        </is>
      </c>
      <c r="D536" s="14" t="n">
        <v>45505</v>
      </c>
      <c r="E536" t="inlineStr">
        <is>
          <t>C000412</t>
        </is>
      </c>
      <c r="F536" s="9" t="n">
        <v>6705</v>
      </c>
      <c r="G536" t="inlineStr">
        <is>
          <t>Invoice date falls outside the linked contract</t>
        </is>
      </c>
    </row>
    <row r="537">
      <c r="A537" t="inlineStr">
        <is>
          <t>INV00006240</t>
        </is>
      </c>
      <c r="B537" t="inlineStr">
        <is>
          <t>contract_date_conflict</t>
        </is>
      </c>
      <c r="C537" t="inlineStr">
        <is>
          <t>medium</t>
        </is>
      </c>
      <c r="D537" s="14" t="n">
        <v>45505</v>
      </c>
      <c r="E537" t="inlineStr">
        <is>
          <t>C000446</t>
        </is>
      </c>
      <c r="F537" s="9" t="n">
        <v>390</v>
      </c>
      <c r="G537" t="inlineStr">
        <is>
          <t>Invoice date falls outside the linked contract</t>
        </is>
      </c>
    </row>
    <row r="538">
      <c r="A538" t="inlineStr">
        <is>
          <t>INV00006572</t>
        </is>
      </c>
      <c r="B538" t="inlineStr">
        <is>
          <t>contract_date_conflict</t>
        </is>
      </c>
      <c r="C538" t="inlineStr">
        <is>
          <t>medium</t>
        </is>
      </c>
      <c r="D538" s="14" t="n">
        <v>45505</v>
      </c>
      <c r="E538" t="inlineStr">
        <is>
          <t>C000468</t>
        </is>
      </c>
      <c r="F538" s="9" t="n">
        <v>1659</v>
      </c>
      <c r="G538" t="inlineStr">
        <is>
          <t>Invoice date falls outside the linked contract</t>
        </is>
      </c>
    </row>
    <row r="539">
      <c r="A539" t="inlineStr">
        <is>
          <t>INV00007298</t>
        </is>
      </c>
      <c r="B539" t="inlineStr">
        <is>
          <t>contract_date_conflict</t>
        </is>
      </c>
      <c r="C539" t="inlineStr">
        <is>
          <t>medium</t>
        </is>
      </c>
      <c r="D539" s="14" t="n">
        <v>45505</v>
      </c>
      <c r="E539" t="inlineStr">
        <is>
          <t>C000514</t>
        </is>
      </c>
      <c r="F539" s="9" t="n">
        <v>195</v>
      </c>
      <c r="G539" t="inlineStr">
        <is>
          <t>Invoice date falls outside the linked contract</t>
        </is>
      </c>
    </row>
    <row r="540">
      <c r="A540" t="inlineStr">
        <is>
          <t>INV00008020</t>
        </is>
      </c>
      <c r="B540" t="inlineStr">
        <is>
          <t>contract_date_conflict</t>
        </is>
      </c>
      <c r="C540" t="inlineStr">
        <is>
          <t>medium</t>
        </is>
      </c>
      <c r="D540" s="14" t="n">
        <v>45505</v>
      </c>
      <c r="E540" t="inlineStr">
        <is>
          <t>C000571</t>
        </is>
      </c>
      <c r="F540" s="9" t="n">
        <v>1185</v>
      </c>
      <c r="G540" t="inlineStr">
        <is>
          <t>Invoice date falls outside the linked contract</t>
        </is>
      </c>
    </row>
    <row r="541">
      <c r="A541" t="inlineStr">
        <is>
          <t>INV00009434</t>
        </is>
      </c>
      <c r="B541" t="inlineStr">
        <is>
          <t>contract_date_conflict</t>
        </is>
      </c>
      <c r="C541" t="inlineStr">
        <is>
          <t>medium</t>
        </is>
      </c>
      <c r="D541" s="14" t="n">
        <v>45505</v>
      </c>
      <c r="E541" t="inlineStr">
        <is>
          <t>C000665</t>
        </is>
      </c>
      <c r="F541" s="9" t="n">
        <v>195</v>
      </c>
      <c r="G541" t="inlineStr">
        <is>
          <t>Invoice date falls outside the linked contract</t>
        </is>
      </c>
    </row>
    <row r="542">
      <c r="A542" t="inlineStr">
        <is>
          <t>INV00009744</t>
        </is>
      </c>
      <c r="B542" t="inlineStr">
        <is>
          <t>contract_date_conflict</t>
        </is>
      </c>
      <c r="C542" t="inlineStr">
        <is>
          <t>medium</t>
        </is>
      </c>
      <c r="D542" s="14" t="n">
        <v>45505</v>
      </c>
      <c r="E542" t="inlineStr">
        <is>
          <t>C000686</t>
        </is>
      </c>
      <c r="F542" s="9" t="n">
        <v>195</v>
      </c>
      <c r="G542" t="inlineStr">
        <is>
          <t>Invoice date falls outside the linked contract</t>
        </is>
      </c>
    </row>
    <row r="543">
      <c r="A543" t="inlineStr">
        <is>
          <t>INV00010511</t>
        </is>
      </c>
      <c r="B543" t="inlineStr">
        <is>
          <t>contract_date_conflict</t>
        </is>
      </c>
      <c r="C543" t="inlineStr">
        <is>
          <t>medium</t>
        </is>
      </c>
      <c r="D543" s="14" t="n">
        <v>45505</v>
      </c>
      <c r="E543" t="inlineStr">
        <is>
          <t>C000736</t>
        </is>
      </c>
      <c r="F543" s="9" t="n">
        <v>312</v>
      </c>
      <c r="G543" t="inlineStr">
        <is>
          <t>Invoice date falls outside the linked contract</t>
        </is>
      </c>
    </row>
    <row r="544">
      <c r="A544" t="inlineStr">
        <is>
          <t>INV00010649</t>
        </is>
      </c>
      <c r="B544" t="inlineStr">
        <is>
          <t>contract_date_conflict</t>
        </is>
      </c>
      <c r="C544" t="inlineStr">
        <is>
          <t>medium</t>
        </is>
      </c>
      <c r="D544" s="14" t="n">
        <v>45505</v>
      </c>
      <c r="E544" t="inlineStr">
        <is>
          <t>C000747</t>
        </is>
      </c>
      <c r="F544" s="9" t="n">
        <v>195</v>
      </c>
      <c r="G544" t="inlineStr">
        <is>
          <t>Invoice date falls outside the linked contract</t>
        </is>
      </c>
    </row>
    <row r="545">
      <c r="A545" t="inlineStr">
        <is>
          <t>INV00011549</t>
        </is>
      </c>
      <c r="B545" t="inlineStr">
        <is>
          <t>contract_date_conflict</t>
        </is>
      </c>
      <c r="C545" t="inlineStr">
        <is>
          <t>medium</t>
        </is>
      </c>
      <c r="D545" s="14" t="n">
        <v>45505</v>
      </c>
      <c r="E545" t="inlineStr">
        <is>
          <t>C000812</t>
        </is>
      </c>
      <c r="F545" s="9" t="n">
        <v>273</v>
      </c>
      <c r="G545" t="inlineStr">
        <is>
          <t>Invoice date falls outside the linked contract</t>
        </is>
      </c>
    </row>
    <row r="546">
      <c r="A546" t="inlineStr">
        <is>
          <t>INV00011767</t>
        </is>
      </c>
      <c r="B546" t="inlineStr">
        <is>
          <t>contract_date_conflict</t>
        </is>
      </c>
      <c r="C546" t="inlineStr">
        <is>
          <t>medium</t>
        </is>
      </c>
      <c r="D546" s="14" t="n">
        <v>45505</v>
      </c>
      <c r="E546" t="inlineStr">
        <is>
          <t>C000827</t>
        </is>
      </c>
      <c r="F546" s="9" t="n">
        <v>1185</v>
      </c>
      <c r="G546" t="inlineStr">
        <is>
          <t>Invoice date falls outside the linked contract</t>
        </is>
      </c>
    </row>
    <row r="547">
      <c r="A547" t="inlineStr">
        <is>
          <t>INV00015306</t>
        </is>
      </c>
      <c r="B547" t="inlineStr">
        <is>
          <t>contract_date_conflict</t>
        </is>
      </c>
      <c r="C547" t="inlineStr">
        <is>
          <t>medium</t>
        </is>
      </c>
      <c r="D547" s="14" t="n">
        <v>45505</v>
      </c>
      <c r="E547" t="inlineStr">
        <is>
          <t>C001069</t>
        </is>
      </c>
      <c r="F547" s="9" t="n">
        <v>390</v>
      </c>
      <c r="G547" t="inlineStr">
        <is>
          <t>Invoice date falls outside the linked contract</t>
        </is>
      </c>
    </row>
    <row r="548">
      <c r="A548" t="inlineStr">
        <is>
          <t>INV00015348</t>
        </is>
      </c>
      <c r="B548" t="inlineStr">
        <is>
          <t>contract_date_conflict</t>
        </is>
      </c>
      <c r="C548" t="inlineStr">
        <is>
          <t>medium</t>
        </is>
      </c>
      <c r="D548" s="14" t="n">
        <v>45505</v>
      </c>
      <c r="E548" t="inlineStr">
        <is>
          <t>C001071</t>
        </is>
      </c>
      <c r="F548" s="9" t="n">
        <v>195</v>
      </c>
      <c r="G548" t="inlineStr">
        <is>
          <t>Invoice date falls outside the linked contract</t>
        </is>
      </c>
    </row>
    <row r="549">
      <c r="A549" t="inlineStr">
        <is>
          <t>INV00015365</t>
        </is>
      </c>
      <c r="B549" t="inlineStr">
        <is>
          <t>contract_date_conflict</t>
        </is>
      </c>
      <c r="C549" t="inlineStr">
        <is>
          <t>medium</t>
        </is>
      </c>
      <c r="D549" s="14" t="n">
        <v>45505</v>
      </c>
      <c r="E549" t="inlineStr">
        <is>
          <t>C001072</t>
        </is>
      </c>
      <c r="F549" s="9" t="n">
        <v>2488.5</v>
      </c>
      <c r="G549" t="inlineStr">
        <is>
          <t>Invoice date falls outside the linked contract</t>
        </is>
      </c>
    </row>
    <row r="550">
      <c r="A550" t="inlineStr">
        <is>
          <t>INV00015523</t>
        </is>
      </c>
      <c r="B550" t="inlineStr">
        <is>
          <t>contract_date_conflict</t>
        </is>
      </c>
      <c r="C550" t="inlineStr">
        <is>
          <t>medium</t>
        </is>
      </c>
      <c r="D550" s="14" t="n">
        <v>45505</v>
      </c>
      <c r="E550" t="inlineStr">
        <is>
          <t>C001079</t>
        </is>
      </c>
      <c r="F550" s="9" t="n">
        <v>1580</v>
      </c>
      <c r="G550" t="inlineStr">
        <is>
          <t>Invoice date falls outside the linked contract</t>
        </is>
      </c>
    </row>
    <row r="551">
      <c r="A551" t="inlineStr">
        <is>
          <t>INV00016362</t>
        </is>
      </c>
      <c r="B551" t="inlineStr">
        <is>
          <t>contract_date_conflict</t>
        </is>
      </c>
      <c r="C551" t="inlineStr">
        <is>
          <t>medium</t>
        </is>
      </c>
      <c r="D551" s="14" t="n">
        <v>45505</v>
      </c>
      <c r="E551" t="inlineStr">
        <is>
          <t>C001140</t>
        </is>
      </c>
      <c r="F551" s="9" t="n">
        <v>468</v>
      </c>
      <c r="G551" t="inlineStr">
        <is>
          <t>Invoice date falls outside the linked contract</t>
        </is>
      </c>
    </row>
    <row r="552">
      <c r="A552" t="inlineStr">
        <is>
          <t>INV00017265</t>
        </is>
      </c>
      <c r="B552" t="inlineStr">
        <is>
          <t>contract_date_conflict</t>
        </is>
      </c>
      <c r="C552" t="inlineStr">
        <is>
          <t>medium</t>
        </is>
      </c>
      <c r="D552" s="14" t="n">
        <v>45505</v>
      </c>
      <c r="E552" t="inlineStr">
        <is>
          <t>C001196</t>
        </is>
      </c>
      <c r="F552" s="9" t="n">
        <v>7077.5</v>
      </c>
      <c r="G552" t="inlineStr">
        <is>
          <t>Invoice date falls outside the linked contract</t>
        </is>
      </c>
    </row>
    <row r="553">
      <c r="A553" t="inlineStr">
        <is>
          <t>INV00000256</t>
        </is>
      </c>
      <c r="B553" t="inlineStr">
        <is>
          <t>contract_date_conflict</t>
        </is>
      </c>
      <c r="C553" t="inlineStr">
        <is>
          <t>medium</t>
        </is>
      </c>
      <c r="D553" s="14" t="n">
        <v>45536</v>
      </c>
      <c r="E553" t="inlineStr">
        <is>
          <t>C000021</t>
        </is>
      </c>
      <c r="F553" s="9" t="n">
        <v>17135</v>
      </c>
      <c r="G553" t="inlineStr">
        <is>
          <t>Invoice date falls outside the linked contract</t>
        </is>
      </c>
    </row>
    <row r="554">
      <c r="A554" t="inlineStr">
        <is>
          <t>INV00002197</t>
        </is>
      </c>
      <c r="B554" t="inlineStr">
        <is>
          <t>contract_date_conflict</t>
        </is>
      </c>
      <c r="C554" t="inlineStr">
        <is>
          <t>medium</t>
        </is>
      </c>
      <c r="D554" s="14" t="n">
        <v>45536</v>
      </c>
      <c r="E554" t="inlineStr">
        <is>
          <t>C000155</t>
        </is>
      </c>
      <c r="F554" s="9" t="n">
        <v>624</v>
      </c>
      <c r="G554" t="inlineStr">
        <is>
          <t>Invoice date falls outside the linked contract</t>
        </is>
      </c>
    </row>
    <row r="555">
      <c r="A555" t="inlineStr">
        <is>
          <t>INV00002308</t>
        </is>
      </c>
      <c r="B555" t="inlineStr">
        <is>
          <t>contract_date_conflict</t>
        </is>
      </c>
      <c r="C555" t="inlineStr">
        <is>
          <t>medium</t>
        </is>
      </c>
      <c r="D555" s="14" t="n">
        <v>45536</v>
      </c>
      <c r="E555" t="inlineStr">
        <is>
          <t>C000164</t>
        </is>
      </c>
      <c r="F555" s="9" t="n">
        <v>1185</v>
      </c>
      <c r="G555" t="inlineStr">
        <is>
          <t>Invoice date falls outside the linked contract</t>
        </is>
      </c>
    </row>
    <row r="556">
      <c r="A556" t="inlineStr">
        <is>
          <t>INV00002447</t>
        </is>
      </c>
      <c r="B556" t="inlineStr">
        <is>
          <t>contract_date_conflict</t>
        </is>
      </c>
      <c r="C556" t="inlineStr">
        <is>
          <t>medium</t>
        </is>
      </c>
      <c r="D556" s="14" t="n">
        <v>45536</v>
      </c>
      <c r="E556" t="inlineStr">
        <is>
          <t>C000171</t>
        </is>
      </c>
      <c r="F556" s="9" t="n">
        <v>234</v>
      </c>
      <c r="G556" t="inlineStr">
        <is>
          <t>Invoice date falls outside the linked contract</t>
        </is>
      </c>
    </row>
    <row r="557">
      <c r="A557" t="inlineStr">
        <is>
          <t>INV00002559</t>
        </is>
      </c>
      <c r="B557" t="inlineStr">
        <is>
          <t>contract_date_conflict</t>
        </is>
      </c>
      <c r="C557" t="inlineStr">
        <is>
          <t>medium</t>
        </is>
      </c>
      <c r="D557" s="14" t="n">
        <v>45536</v>
      </c>
      <c r="E557" t="inlineStr">
        <is>
          <t>C000182</t>
        </is>
      </c>
      <c r="F557" s="9" t="n">
        <v>14602</v>
      </c>
      <c r="G557" t="inlineStr">
        <is>
          <t>Invoice date falls outside the linked contract</t>
        </is>
      </c>
    </row>
    <row r="558">
      <c r="A558" t="inlineStr">
        <is>
          <t>INV00002857</t>
        </is>
      </c>
      <c r="B558" t="inlineStr">
        <is>
          <t>contract_date_conflict</t>
        </is>
      </c>
      <c r="C558" t="inlineStr">
        <is>
          <t>medium</t>
        </is>
      </c>
      <c r="D558" s="14" t="n">
        <v>45536</v>
      </c>
      <c r="E558" t="inlineStr">
        <is>
          <t>C000206</t>
        </is>
      </c>
      <c r="F558" s="9" t="n">
        <v>156</v>
      </c>
      <c r="G558" t="inlineStr">
        <is>
          <t>Invoice date falls outside the linked contract</t>
        </is>
      </c>
    </row>
    <row r="559">
      <c r="A559" t="inlineStr">
        <is>
          <t>INV00004496</t>
        </is>
      </c>
      <c r="B559" t="inlineStr">
        <is>
          <t>contract_date_conflict</t>
        </is>
      </c>
      <c r="C559" t="inlineStr">
        <is>
          <t>medium</t>
        </is>
      </c>
      <c r="D559" s="14" t="n">
        <v>45536</v>
      </c>
      <c r="E559" t="inlineStr">
        <is>
          <t>C000337</t>
        </is>
      </c>
      <c r="F559" s="9" t="n">
        <v>296.4</v>
      </c>
      <c r="G559" t="inlineStr">
        <is>
          <t>Invoice date falls outside the linked contract</t>
        </is>
      </c>
    </row>
    <row r="560">
      <c r="A560" t="inlineStr">
        <is>
          <t>INV00005529</t>
        </is>
      </c>
      <c r="B560" t="inlineStr">
        <is>
          <t>contract_date_conflict</t>
        </is>
      </c>
      <c r="C560" t="inlineStr">
        <is>
          <t>medium</t>
        </is>
      </c>
      <c r="D560" s="14" t="n">
        <v>45536</v>
      </c>
      <c r="E560" t="inlineStr">
        <is>
          <t>C000394</t>
        </is>
      </c>
      <c r="F560" s="9" t="n">
        <v>1350.9</v>
      </c>
      <c r="G560" t="inlineStr">
        <is>
          <t>Invoice date falls outside the linked contract</t>
        </is>
      </c>
    </row>
    <row r="561">
      <c r="A561" t="inlineStr">
        <is>
          <t>INV00007138</t>
        </is>
      </c>
      <c r="B561" t="inlineStr">
        <is>
          <t>contract_date_conflict</t>
        </is>
      </c>
      <c r="C561" t="inlineStr">
        <is>
          <t>medium</t>
        </is>
      </c>
      <c r="D561" s="14" t="n">
        <v>45536</v>
      </c>
      <c r="E561" t="inlineStr">
        <is>
          <t>C000501</t>
        </is>
      </c>
      <c r="F561" s="9" t="n">
        <v>312</v>
      </c>
      <c r="G561" t="inlineStr">
        <is>
          <t>Invoice date falls outside the linked contract</t>
        </is>
      </c>
    </row>
    <row r="562">
      <c r="A562" t="inlineStr">
        <is>
          <t>INV00007588</t>
        </is>
      </c>
      <c r="B562" t="inlineStr">
        <is>
          <t>contract_date_conflict</t>
        </is>
      </c>
      <c r="C562" t="inlineStr">
        <is>
          <t>medium</t>
        </is>
      </c>
      <c r="D562" s="14" t="n">
        <v>45536</v>
      </c>
      <c r="E562" t="inlineStr">
        <is>
          <t>C000532</t>
        </is>
      </c>
      <c r="F562" s="9" t="n">
        <v>1208.7</v>
      </c>
      <c r="G562" t="inlineStr">
        <is>
          <t>Invoice date falls outside the linked contract</t>
        </is>
      </c>
    </row>
    <row r="563">
      <c r="A563" t="inlineStr">
        <is>
          <t>INV00009265</t>
        </is>
      </c>
      <c r="B563" t="inlineStr">
        <is>
          <t>contract_date_conflict</t>
        </is>
      </c>
      <c r="C563" t="inlineStr">
        <is>
          <t>medium</t>
        </is>
      </c>
      <c r="D563" s="14" t="n">
        <v>45536</v>
      </c>
      <c r="E563" t="inlineStr">
        <is>
          <t>C000649</t>
        </is>
      </c>
      <c r="F563" s="9" t="n">
        <v>1975</v>
      </c>
      <c r="G563" t="inlineStr">
        <is>
          <t>Invoice date falls outside the linked contract</t>
        </is>
      </c>
    </row>
    <row r="564">
      <c r="A564" t="inlineStr">
        <is>
          <t>INV00010187</t>
        </is>
      </c>
      <c r="B564" t="inlineStr">
        <is>
          <t>contract_date_conflict</t>
        </is>
      </c>
      <c r="C564" t="inlineStr">
        <is>
          <t>medium</t>
        </is>
      </c>
      <c r="D564" s="14" t="n">
        <v>45536</v>
      </c>
      <c r="E564" t="inlineStr">
        <is>
          <t>C000717</t>
        </is>
      </c>
      <c r="F564" s="9" t="n">
        <v>6705</v>
      </c>
      <c r="G564" t="inlineStr">
        <is>
          <t>Invoice date falls outside the linked contract</t>
        </is>
      </c>
    </row>
    <row r="565">
      <c r="A565" t="inlineStr">
        <is>
          <t>INV00010552</t>
        </is>
      </c>
      <c r="B565" t="inlineStr">
        <is>
          <t>contract_date_conflict</t>
        </is>
      </c>
      <c r="C565" t="inlineStr">
        <is>
          <t>medium</t>
        </is>
      </c>
      <c r="D565" s="14" t="n">
        <v>45536</v>
      </c>
      <c r="E565" t="inlineStr">
        <is>
          <t>C000739</t>
        </is>
      </c>
      <c r="F565" s="9" t="n">
        <v>7241.4</v>
      </c>
      <c r="G565" t="inlineStr">
        <is>
          <t>Invoice date falls outside the linked contract</t>
        </is>
      </c>
    </row>
    <row r="566">
      <c r="A566" t="inlineStr">
        <is>
          <t>INV00011364</t>
        </is>
      </c>
      <c r="B566" t="inlineStr">
        <is>
          <t>contract_date_conflict</t>
        </is>
      </c>
      <c r="C566" t="inlineStr">
        <is>
          <t>medium</t>
        </is>
      </c>
      <c r="D566" s="14" t="n">
        <v>45536</v>
      </c>
      <c r="E566" t="inlineStr">
        <is>
          <t>C000798</t>
        </is>
      </c>
      <c r="F566" s="9" t="n">
        <v>1185</v>
      </c>
      <c r="G566" t="inlineStr">
        <is>
          <t>Invoice date falls outside the linked contract</t>
        </is>
      </c>
    </row>
    <row r="567">
      <c r="A567" t="inlineStr">
        <is>
          <t>INV00011533</t>
        </is>
      </c>
      <c r="B567" t="inlineStr">
        <is>
          <t>contract_date_conflict</t>
        </is>
      </c>
      <c r="C567" t="inlineStr">
        <is>
          <t>medium</t>
        </is>
      </c>
      <c r="D567" s="14" t="n">
        <v>45536</v>
      </c>
      <c r="E567" t="inlineStr">
        <is>
          <t>C000811</t>
        </is>
      </c>
      <c r="F567" s="9" t="n">
        <v>185.25</v>
      </c>
      <c r="G567" t="inlineStr">
        <is>
          <t>Invoice date falls outside the linked contract</t>
        </is>
      </c>
    </row>
    <row r="568">
      <c r="A568" t="inlineStr">
        <is>
          <t>INV00011990</t>
        </is>
      </c>
      <c r="B568" t="inlineStr">
        <is>
          <t>contract_date_conflict</t>
        </is>
      </c>
      <c r="C568" t="inlineStr">
        <is>
          <t>medium</t>
        </is>
      </c>
      <c r="D568" s="14" t="n">
        <v>45536</v>
      </c>
      <c r="E568" t="inlineStr">
        <is>
          <t>C000841</t>
        </is>
      </c>
      <c r="F568" s="9" t="n">
        <v>195</v>
      </c>
      <c r="G568" t="inlineStr">
        <is>
          <t>Invoice date falls outside the linked contract</t>
        </is>
      </c>
    </row>
    <row r="569">
      <c r="A569" t="inlineStr">
        <is>
          <t>INV00012180</t>
        </is>
      </c>
      <c r="B569" t="inlineStr">
        <is>
          <t>contract_date_conflict</t>
        </is>
      </c>
      <c r="C569" t="inlineStr">
        <is>
          <t>medium</t>
        </is>
      </c>
      <c r="D569" s="14" t="n">
        <v>45536</v>
      </c>
      <c r="E569" t="inlineStr">
        <is>
          <t>C000856</t>
        </is>
      </c>
      <c r="F569" s="9" t="n">
        <v>273</v>
      </c>
      <c r="G569" t="inlineStr">
        <is>
          <t>Invoice date falls outside the linked contract</t>
        </is>
      </c>
    </row>
    <row r="570">
      <c r="A570" t="inlineStr">
        <is>
          <t>INV00012338</t>
        </is>
      </c>
      <c r="B570" t="inlineStr">
        <is>
          <t>contract_date_conflict</t>
        </is>
      </c>
      <c r="C570" t="inlineStr">
        <is>
          <t>medium</t>
        </is>
      </c>
      <c r="D570" s="14" t="n">
        <v>45536</v>
      </c>
      <c r="E570" t="inlineStr">
        <is>
          <t>C000871</t>
        </is>
      </c>
      <c r="F570" s="9" t="n">
        <v>195</v>
      </c>
      <c r="G570" t="inlineStr">
        <is>
          <t>Invoice date falls outside the linked contract</t>
        </is>
      </c>
    </row>
    <row r="571">
      <c r="A571" t="inlineStr">
        <is>
          <t>INV00012985</t>
        </is>
      </c>
      <c r="B571" t="inlineStr">
        <is>
          <t>contract_date_conflict</t>
        </is>
      </c>
      <c r="C571" t="inlineStr">
        <is>
          <t>medium</t>
        </is>
      </c>
      <c r="D571" s="14" t="n">
        <v>45536</v>
      </c>
      <c r="E571" t="inlineStr">
        <is>
          <t>C000912</t>
        </is>
      </c>
      <c r="F571" s="9" t="n">
        <v>1185</v>
      </c>
      <c r="G571" t="inlineStr">
        <is>
          <t>Invoice date falls outside the linked contract</t>
        </is>
      </c>
    </row>
    <row r="572">
      <c r="A572" t="inlineStr">
        <is>
          <t>INV00013714</t>
        </is>
      </c>
      <c r="B572" t="inlineStr">
        <is>
          <t>contract_date_conflict</t>
        </is>
      </c>
      <c r="C572" t="inlineStr">
        <is>
          <t>medium</t>
        </is>
      </c>
      <c r="D572" s="14" t="n">
        <v>45536</v>
      </c>
      <c r="E572" t="inlineStr">
        <is>
          <t>C000969</t>
        </is>
      </c>
      <c r="F572" s="9" t="n">
        <v>222.3</v>
      </c>
      <c r="G572" t="inlineStr">
        <is>
          <t>Invoice date falls outside the linked contract</t>
        </is>
      </c>
    </row>
    <row r="573">
      <c r="A573" t="inlineStr">
        <is>
          <t>INV00013754</t>
        </is>
      </c>
      <c r="B573" t="inlineStr">
        <is>
          <t>contract_date_conflict</t>
        </is>
      </c>
      <c r="C573" t="inlineStr">
        <is>
          <t>medium</t>
        </is>
      </c>
      <c r="D573" s="14" t="n">
        <v>45536</v>
      </c>
      <c r="E573" t="inlineStr">
        <is>
          <t>C000973</t>
        </is>
      </c>
      <c r="F573" s="9" t="n">
        <v>8046</v>
      </c>
      <c r="G573" t="inlineStr">
        <is>
          <t>Invoice date falls outside the linked contract</t>
        </is>
      </c>
    </row>
    <row r="574">
      <c r="A574" t="inlineStr">
        <is>
          <t>INV00013925</t>
        </is>
      </c>
      <c r="B574" t="inlineStr">
        <is>
          <t>contract_date_conflict</t>
        </is>
      </c>
      <c r="C574" t="inlineStr">
        <is>
          <t>medium</t>
        </is>
      </c>
      <c r="D574" s="14" t="n">
        <v>45536</v>
      </c>
      <c r="E574" t="inlineStr">
        <is>
          <t>C000984</t>
        </is>
      </c>
      <c r="F574" s="9" t="n">
        <v>2291</v>
      </c>
      <c r="G574" t="inlineStr">
        <is>
          <t>Invoice date falls outside the linked contract</t>
        </is>
      </c>
    </row>
    <row r="575">
      <c r="A575" t="inlineStr">
        <is>
          <t>INV00014801</t>
        </is>
      </c>
      <c r="B575" t="inlineStr">
        <is>
          <t>contract_date_conflict</t>
        </is>
      </c>
      <c r="C575" t="inlineStr">
        <is>
          <t>medium</t>
        </is>
      </c>
      <c r="D575" s="14" t="n">
        <v>45536</v>
      </c>
      <c r="E575" t="inlineStr">
        <is>
          <t>C001037</t>
        </is>
      </c>
      <c r="F575" s="9" t="n">
        <v>175.5</v>
      </c>
      <c r="G575" t="inlineStr">
        <is>
          <t>Invoice date falls outside the linked contract</t>
        </is>
      </c>
    </row>
    <row r="576">
      <c r="A576" t="inlineStr">
        <is>
          <t>INV00015133</t>
        </is>
      </c>
      <c r="B576" t="inlineStr">
        <is>
          <t>contract_date_conflict</t>
        </is>
      </c>
      <c r="C576" t="inlineStr">
        <is>
          <t>medium</t>
        </is>
      </c>
      <c r="D576" s="14" t="n">
        <v>45536</v>
      </c>
      <c r="E576" t="inlineStr">
        <is>
          <t>C001058</t>
        </is>
      </c>
      <c r="F576" s="9" t="n">
        <v>14155</v>
      </c>
      <c r="G576" t="inlineStr">
        <is>
          <t>Invoice date falls outside the linked contract</t>
        </is>
      </c>
    </row>
    <row r="577">
      <c r="A577" t="inlineStr">
        <is>
          <t>INV00015876</t>
        </is>
      </c>
      <c r="B577" t="inlineStr">
        <is>
          <t>contract_date_conflict</t>
        </is>
      </c>
      <c r="C577" t="inlineStr">
        <is>
          <t>medium</t>
        </is>
      </c>
      <c r="D577" s="14" t="n">
        <v>45536</v>
      </c>
      <c r="E577" t="inlineStr">
        <is>
          <t>C001101</t>
        </is>
      </c>
      <c r="F577" s="9" t="n">
        <v>16241</v>
      </c>
      <c r="G577" t="inlineStr">
        <is>
          <t>Invoice date falls outside the linked contract</t>
        </is>
      </c>
    </row>
    <row r="578">
      <c r="A578" t="inlineStr">
        <is>
          <t>INV00016437</t>
        </is>
      </c>
      <c r="B578" t="inlineStr">
        <is>
          <t>contract_date_conflict</t>
        </is>
      </c>
      <c r="C578" t="inlineStr">
        <is>
          <t>medium</t>
        </is>
      </c>
      <c r="D578" s="14" t="n">
        <v>45536</v>
      </c>
      <c r="E578" t="inlineStr">
        <is>
          <t>C001144</t>
        </is>
      </c>
      <c r="F578" s="9" t="n">
        <v>351</v>
      </c>
      <c r="G578" t="inlineStr">
        <is>
          <t>Invoice date falls outside the linked contract</t>
        </is>
      </c>
    </row>
    <row r="579">
      <c r="A579" t="inlineStr">
        <is>
          <t>INV00016713</t>
        </is>
      </c>
      <c r="B579" t="inlineStr">
        <is>
          <t>contract_date_conflict</t>
        </is>
      </c>
      <c r="C579" t="inlineStr">
        <is>
          <t>medium</t>
        </is>
      </c>
      <c r="D579" s="14" t="n">
        <v>45536</v>
      </c>
      <c r="E579" t="inlineStr">
        <is>
          <t>C001163</t>
        </is>
      </c>
      <c r="F579" s="9" t="n">
        <v>156</v>
      </c>
      <c r="G579" t="inlineStr">
        <is>
          <t>Invoice date falls outside the linked contract</t>
        </is>
      </c>
    </row>
    <row r="580">
      <c r="A580" t="inlineStr">
        <is>
          <t>INV00017119</t>
        </is>
      </c>
      <c r="B580" t="inlineStr">
        <is>
          <t>contract_date_conflict</t>
        </is>
      </c>
      <c r="C580" t="inlineStr">
        <is>
          <t>medium</t>
        </is>
      </c>
      <c r="D580" s="14" t="n">
        <v>45536</v>
      </c>
      <c r="E580" t="inlineStr">
        <is>
          <t>C001187</t>
        </is>
      </c>
      <c r="F580" s="9" t="n">
        <v>390</v>
      </c>
      <c r="G580" t="inlineStr">
        <is>
          <t>Invoice date falls outside the linked contract</t>
        </is>
      </c>
    </row>
    <row r="581">
      <c r="A581" t="inlineStr">
        <is>
          <t>INV00000343</t>
        </is>
      </c>
      <c r="B581" t="inlineStr">
        <is>
          <t>contract_date_conflict</t>
        </is>
      </c>
      <c r="C581" t="inlineStr">
        <is>
          <t>medium</t>
        </is>
      </c>
      <c r="D581" s="14" t="n">
        <v>45566</v>
      </c>
      <c r="E581" t="inlineStr">
        <is>
          <t>C000027</t>
        </is>
      </c>
      <c r="F581" s="9" t="n">
        <v>195</v>
      </c>
      <c r="G581" t="inlineStr">
        <is>
          <t>Invoice date falls outside the linked contract</t>
        </is>
      </c>
    </row>
    <row r="582">
      <c r="A582" t="inlineStr">
        <is>
          <t>INV00000569</t>
        </is>
      </c>
      <c r="B582" t="inlineStr">
        <is>
          <t>contract_date_conflict</t>
        </is>
      </c>
      <c r="C582" t="inlineStr">
        <is>
          <t>medium</t>
        </is>
      </c>
      <c r="D582" s="14" t="n">
        <v>45566</v>
      </c>
      <c r="E582" t="inlineStr">
        <is>
          <t>C000039</t>
        </is>
      </c>
      <c r="F582" s="9" t="n">
        <v>273</v>
      </c>
      <c r="G582" t="inlineStr">
        <is>
          <t>Invoice date falls outside the linked contract</t>
        </is>
      </c>
    </row>
    <row r="583">
      <c r="A583" t="inlineStr">
        <is>
          <t>INV00001702</t>
        </is>
      </c>
      <c r="B583" t="inlineStr">
        <is>
          <t>contract_date_conflict</t>
        </is>
      </c>
      <c r="C583" t="inlineStr">
        <is>
          <t>medium</t>
        </is>
      </c>
      <c r="D583" s="14" t="n">
        <v>45566</v>
      </c>
      <c r="E583" t="inlineStr">
        <is>
          <t>C000114</t>
        </is>
      </c>
      <c r="F583" s="9" t="n">
        <v>1350.9</v>
      </c>
      <c r="G583" t="inlineStr">
        <is>
          <t>Invoice date falls outside the linked contract</t>
        </is>
      </c>
    </row>
    <row r="584">
      <c r="A584" t="inlineStr">
        <is>
          <t>INV00001774</t>
        </is>
      </c>
      <c r="B584" t="inlineStr">
        <is>
          <t>contract_date_conflict</t>
        </is>
      </c>
      <c r="C584" t="inlineStr">
        <is>
          <t>medium</t>
        </is>
      </c>
      <c r="D584" s="14" t="n">
        <v>45566</v>
      </c>
      <c r="E584" t="inlineStr">
        <is>
          <t>C000119</t>
        </is>
      </c>
      <c r="F584" s="9" t="n">
        <v>1876.25</v>
      </c>
      <c r="G584" t="inlineStr">
        <is>
          <t>Invoice date falls outside the linked contract</t>
        </is>
      </c>
    </row>
    <row r="585">
      <c r="A585" t="inlineStr">
        <is>
          <t>INV00002544</t>
        </is>
      </c>
      <c r="B585" t="inlineStr">
        <is>
          <t>contract_date_conflict</t>
        </is>
      </c>
      <c r="C585" t="inlineStr">
        <is>
          <t>medium</t>
        </is>
      </c>
      <c r="D585" s="14" t="n">
        <v>45566</v>
      </c>
      <c r="E585" t="inlineStr">
        <is>
          <t>C000181</t>
        </is>
      </c>
      <c r="F585" s="9" t="n">
        <v>7450</v>
      </c>
      <c r="G585" t="inlineStr">
        <is>
          <t>Invoice date falls outside the linked contract</t>
        </is>
      </c>
    </row>
    <row r="586">
      <c r="A586" t="inlineStr">
        <is>
          <t>INV00003712</t>
        </is>
      </c>
      <c r="B586" t="inlineStr">
        <is>
          <t>contract_date_conflict</t>
        </is>
      </c>
      <c r="C586" t="inlineStr">
        <is>
          <t>medium</t>
        </is>
      </c>
      <c r="D586" s="14" t="n">
        <v>45566</v>
      </c>
      <c r="E586" t="inlineStr">
        <is>
          <t>C000272</t>
        </is>
      </c>
      <c r="F586" s="9" t="n">
        <v>1185</v>
      </c>
      <c r="G586" t="inlineStr">
        <is>
          <t>Invoice date falls outside the linked contract</t>
        </is>
      </c>
    </row>
    <row r="587">
      <c r="A587" t="inlineStr">
        <is>
          <t>INV00003727</t>
        </is>
      </c>
      <c r="B587" t="inlineStr">
        <is>
          <t>contract_date_conflict</t>
        </is>
      </c>
      <c r="C587" t="inlineStr">
        <is>
          <t>medium</t>
        </is>
      </c>
      <c r="D587" s="14" t="n">
        <v>45566</v>
      </c>
      <c r="E587" t="inlineStr">
        <is>
          <t>C000274</t>
        </is>
      </c>
      <c r="F587" s="9" t="n">
        <v>234</v>
      </c>
      <c r="G587" t="inlineStr">
        <is>
          <t>Invoice date falls outside the linked contract</t>
        </is>
      </c>
    </row>
    <row r="588">
      <c r="A588" t="inlineStr">
        <is>
          <t>INV00003742</t>
        </is>
      </c>
      <c r="B588" t="inlineStr">
        <is>
          <t>contract_date_conflict</t>
        </is>
      </c>
      <c r="C588" t="inlineStr">
        <is>
          <t>medium</t>
        </is>
      </c>
      <c r="D588" s="14" t="n">
        <v>45566</v>
      </c>
      <c r="E588" t="inlineStr">
        <is>
          <t>C000276</t>
        </is>
      </c>
      <c r="F588" s="9" t="n">
        <v>1350.9</v>
      </c>
      <c r="G588" t="inlineStr">
        <is>
          <t>Invoice date falls outside the linked contract</t>
        </is>
      </c>
    </row>
    <row r="589">
      <c r="A589" t="inlineStr">
        <is>
          <t>INV00003881</t>
        </is>
      </c>
      <c r="B589" t="inlineStr">
        <is>
          <t>contract_date_conflict</t>
        </is>
      </c>
      <c r="C589" t="inlineStr">
        <is>
          <t>medium</t>
        </is>
      </c>
      <c r="D589" s="14" t="n">
        <v>45566</v>
      </c>
      <c r="E589" t="inlineStr">
        <is>
          <t>C000286</t>
        </is>
      </c>
      <c r="F589" s="9" t="n">
        <v>2449</v>
      </c>
      <c r="G589" t="inlineStr">
        <is>
          <t>Invoice date falls outside the linked contract</t>
        </is>
      </c>
    </row>
    <row r="590">
      <c r="A590" t="inlineStr">
        <is>
          <t>INV00004164</t>
        </is>
      </c>
      <c r="B590" t="inlineStr">
        <is>
          <t>contract_date_conflict</t>
        </is>
      </c>
      <c r="C590" t="inlineStr">
        <is>
          <t>medium</t>
        </is>
      </c>
      <c r="D590" s="14" t="n">
        <v>45566</v>
      </c>
      <c r="E590" t="inlineStr">
        <is>
          <t>C000309</t>
        </is>
      </c>
      <c r="F590" s="9" t="n">
        <v>390</v>
      </c>
      <c r="G590" t="inlineStr">
        <is>
          <t>Invoice date falls outside the linked contract</t>
        </is>
      </c>
    </row>
    <row r="591">
      <c r="A591" t="inlineStr">
        <is>
          <t>INV00005975</t>
        </is>
      </c>
      <c r="B591" t="inlineStr">
        <is>
          <t>contract_date_conflict</t>
        </is>
      </c>
      <c r="C591" t="inlineStr">
        <is>
          <t>medium</t>
        </is>
      </c>
      <c r="D591" s="14" t="n">
        <v>45566</v>
      </c>
      <c r="E591" t="inlineStr">
        <is>
          <t>C000426</t>
        </is>
      </c>
      <c r="F591" s="9" t="n">
        <v>185.25</v>
      </c>
      <c r="G591" t="inlineStr">
        <is>
          <t>Invoice date falls outside the linked contract</t>
        </is>
      </c>
    </row>
    <row r="592">
      <c r="A592" t="inlineStr">
        <is>
          <t>INV00006257</t>
        </is>
      </c>
      <c r="B592" t="inlineStr">
        <is>
          <t>contract_date_conflict</t>
        </is>
      </c>
      <c r="C592" t="inlineStr">
        <is>
          <t>medium</t>
        </is>
      </c>
      <c r="D592" s="14" t="n">
        <v>45566</v>
      </c>
      <c r="E592" t="inlineStr">
        <is>
          <t>C000447</t>
        </is>
      </c>
      <c r="F592" s="9" t="n">
        <v>185.25</v>
      </c>
      <c r="G592" t="inlineStr">
        <is>
          <t>Invoice date falls outside the linked contract</t>
        </is>
      </c>
    </row>
    <row r="593">
      <c r="A593" t="inlineStr">
        <is>
          <t>INV00007460</t>
        </is>
      </c>
      <c r="B593" t="inlineStr">
        <is>
          <t>contract_date_conflict</t>
        </is>
      </c>
      <c r="C593" t="inlineStr">
        <is>
          <t>medium</t>
        </is>
      </c>
      <c r="D593" s="14" t="n">
        <v>45566</v>
      </c>
      <c r="E593" t="inlineStr">
        <is>
          <t>C000524</t>
        </is>
      </c>
      <c r="F593" s="9" t="n">
        <v>195</v>
      </c>
      <c r="G593" t="inlineStr">
        <is>
          <t>Invoice date falls outside the linked contract</t>
        </is>
      </c>
    </row>
    <row r="594">
      <c r="A594" t="inlineStr">
        <is>
          <t>INV00007552</t>
        </is>
      </c>
      <c r="B594" t="inlineStr">
        <is>
          <t>contract_date_conflict</t>
        </is>
      </c>
      <c r="C594" t="inlineStr">
        <is>
          <t>medium</t>
        </is>
      </c>
      <c r="D594" s="14" t="n">
        <v>45566</v>
      </c>
      <c r="E594" t="inlineStr">
        <is>
          <t>C000529</t>
        </is>
      </c>
      <c r="F594" s="9" t="n">
        <v>273</v>
      </c>
      <c r="G594" t="inlineStr">
        <is>
          <t>Invoice date falls outside the linked contract</t>
        </is>
      </c>
    </row>
    <row r="595">
      <c r="A595" t="inlineStr">
        <is>
          <t>INV00007662</t>
        </is>
      </c>
      <c r="B595" t="inlineStr">
        <is>
          <t>contract_date_conflict</t>
        </is>
      </c>
      <c r="C595" t="inlineStr">
        <is>
          <t>medium</t>
        </is>
      </c>
      <c r="D595" s="14" t="n">
        <v>45566</v>
      </c>
      <c r="E595" t="inlineStr">
        <is>
          <t>C000537</t>
        </is>
      </c>
      <c r="F595" s="9" t="n">
        <v>1422</v>
      </c>
      <c r="G595" t="inlineStr">
        <is>
          <t>Invoice date falls outside the linked contract</t>
        </is>
      </c>
    </row>
    <row r="596">
      <c r="A596" t="inlineStr">
        <is>
          <t>INV00007705</t>
        </is>
      </c>
      <c r="B596" t="inlineStr">
        <is>
          <t>contract_date_conflict</t>
        </is>
      </c>
      <c r="C596" t="inlineStr">
        <is>
          <t>medium</t>
        </is>
      </c>
      <c r="D596" s="14" t="n">
        <v>45566</v>
      </c>
      <c r="E596" t="inlineStr">
        <is>
          <t>C000541</t>
        </is>
      </c>
      <c r="F596" s="9" t="n">
        <v>195</v>
      </c>
      <c r="G596" t="inlineStr">
        <is>
          <t>Invoice date falls outside the linked contract</t>
        </is>
      </c>
    </row>
    <row r="597">
      <c r="A597" t="inlineStr">
        <is>
          <t>INV00008212</t>
        </is>
      </c>
      <c r="B597" t="inlineStr">
        <is>
          <t>contract_date_conflict</t>
        </is>
      </c>
      <c r="C597" t="inlineStr">
        <is>
          <t>medium</t>
        </is>
      </c>
      <c r="D597" s="14" t="n">
        <v>45566</v>
      </c>
      <c r="E597" t="inlineStr">
        <is>
          <t>C000579</t>
        </is>
      </c>
      <c r="F597" s="9" t="n">
        <v>234</v>
      </c>
      <c r="G597" t="inlineStr">
        <is>
          <t>Invoice date falls outside the linked contract</t>
        </is>
      </c>
    </row>
    <row r="598">
      <c r="A598" t="inlineStr">
        <is>
          <t>INV00008352</t>
        </is>
      </c>
      <c r="B598" t="inlineStr">
        <is>
          <t>contract_date_conflict</t>
        </is>
      </c>
      <c r="C598" t="inlineStr">
        <is>
          <t>medium</t>
        </is>
      </c>
      <c r="D598" s="14" t="n">
        <v>45566</v>
      </c>
      <c r="E598" t="inlineStr">
        <is>
          <t>C000591</t>
        </is>
      </c>
      <c r="F598" s="9" t="n">
        <v>195</v>
      </c>
      <c r="G598" t="inlineStr">
        <is>
          <t>Invoice date falls outside the linked contract</t>
        </is>
      </c>
    </row>
    <row r="599">
      <c r="A599" t="inlineStr">
        <is>
          <t>INV00009250</t>
        </is>
      </c>
      <c r="B599" t="inlineStr">
        <is>
          <t>contract_date_conflict</t>
        </is>
      </c>
      <c r="C599" t="inlineStr">
        <is>
          <t>medium</t>
        </is>
      </c>
      <c r="D599" s="14" t="n">
        <v>45566</v>
      </c>
      <c r="E599" t="inlineStr">
        <is>
          <t>C000648</t>
        </is>
      </c>
      <c r="F599" s="9" t="n">
        <v>3397</v>
      </c>
      <c r="G599" t="inlineStr">
        <is>
          <t>Invoice date falls outside the linked contract</t>
        </is>
      </c>
    </row>
    <row r="600">
      <c r="A600" t="inlineStr">
        <is>
          <t>INV00009930</t>
        </is>
      </c>
      <c r="B600" t="inlineStr">
        <is>
          <t>contract_date_conflict</t>
        </is>
      </c>
      <c r="C600" t="inlineStr">
        <is>
          <t>medium</t>
        </is>
      </c>
      <c r="D600" s="14" t="n">
        <v>45566</v>
      </c>
      <c r="E600" t="inlineStr">
        <is>
          <t>C000702</t>
        </is>
      </c>
      <c r="F600" s="9" t="n">
        <v>3002</v>
      </c>
      <c r="G600" t="inlineStr">
        <is>
          <t>Invoice date falls outside the linked contract</t>
        </is>
      </c>
    </row>
    <row r="601">
      <c r="A601" t="inlineStr">
        <is>
          <t>INV00010496</t>
        </is>
      </c>
      <c r="B601" t="inlineStr">
        <is>
          <t>contract_date_conflict</t>
        </is>
      </c>
      <c r="C601" t="inlineStr">
        <is>
          <t>medium</t>
        </is>
      </c>
      <c r="D601" s="14" t="n">
        <v>45566</v>
      </c>
      <c r="E601" t="inlineStr">
        <is>
          <t>C000735</t>
        </is>
      </c>
      <c r="F601" s="9" t="n">
        <v>195</v>
      </c>
      <c r="G601" t="inlineStr">
        <is>
          <t>Invoice date falls outside the linked contract</t>
        </is>
      </c>
    </row>
    <row r="602">
      <c r="A602" t="inlineStr">
        <is>
          <t>INV00012323</t>
        </is>
      </c>
      <c r="B602" t="inlineStr">
        <is>
          <t>contract_date_conflict</t>
        </is>
      </c>
      <c r="C602" t="inlineStr">
        <is>
          <t>medium</t>
        </is>
      </c>
      <c r="D602" s="14" t="n">
        <v>45566</v>
      </c>
      <c r="E602" t="inlineStr">
        <is>
          <t>C000870</t>
        </is>
      </c>
      <c r="F602" s="9" t="n">
        <v>351</v>
      </c>
      <c r="G602" t="inlineStr">
        <is>
          <t>Invoice date falls outside the linked contract</t>
        </is>
      </c>
    </row>
    <row r="603">
      <c r="A603" t="inlineStr">
        <is>
          <t>INV00012627</t>
        </is>
      </c>
      <c r="B603" t="inlineStr">
        <is>
          <t>contract_date_conflict</t>
        </is>
      </c>
      <c r="C603" t="inlineStr">
        <is>
          <t>medium</t>
        </is>
      </c>
      <c r="D603" s="14" t="n">
        <v>45566</v>
      </c>
      <c r="E603" t="inlineStr">
        <is>
          <t>C000889</t>
        </is>
      </c>
      <c r="F603" s="9" t="n">
        <v>1896</v>
      </c>
      <c r="G603" t="inlineStr">
        <is>
          <t>Invoice date falls outside the linked contract</t>
        </is>
      </c>
    </row>
    <row r="604">
      <c r="A604" t="inlineStr">
        <is>
          <t>INV00013239</t>
        </is>
      </c>
      <c r="B604" t="inlineStr">
        <is>
          <t>contract_date_conflict</t>
        </is>
      </c>
      <c r="C604" t="inlineStr">
        <is>
          <t>medium</t>
        </is>
      </c>
      <c r="D604" s="14" t="n">
        <v>45566</v>
      </c>
      <c r="E604" t="inlineStr">
        <is>
          <t>C000931</t>
        </is>
      </c>
      <c r="F604" s="9" t="n">
        <v>1185</v>
      </c>
      <c r="G604" t="inlineStr">
        <is>
          <t>Invoice date falls outside the linked contract</t>
        </is>
      </c>
    </row>
    <row r="605">
      <c r="A605" t="inlineStr">
        <is>
          <t>INV00013629</t>
        </is>
      </c>
      <c r="B605" t="inlineStr">
        <is>
          <t>contract_date_conflict</t>
        </is>
      </c>
      <c r="C605" t="inlineStr">
        <is>
          <t>medium</t>
        </is>
      </c>
      <c r="D605" s="14" t="n">
        <v>45566</v>
      </c>
      <c r="E605" t="inlineStr">
        <is>
          <t>C000963</t>
        </is>
      </c>
      <c r="F605" s="9" t="n">
        <v>8642</v>
      </c>
      <c r="G605" t="inlineStr">
        <is>
          <t>Invoice date falls outside the linked contract</t>
        </is>
      </c>
    </row>
    <row r="606">
      <c r="A606" t="inlineStr">
        <is>
          <t>INV00014355</t>
        </is>
      </c>
      <c r="B606" t="inlineStr">
        <is>
          <t>contract_date_conflict</t>
        </is>
      </c>
      <c r="C606" t="inlineStr">
        <is>
          <t>medium</t>
        </is>
      </c>
      <c r="D606" s="14" t="n">
        <v>45566</v>
      </c>
      <c r="E606" t="inlineStr">
        <is>
          <t>C001007</t>
        </is>
      </c>
      <c r="F606" s="9" t="n">
        <v>1007.25</v>
      </c>
      <c r="G606" t="inlineStr">
        <is>
          <t>Invoice date falls outside the linked contract</t>
        </is>
      </c>
    </row>
    <row r="607">
      <c r="A607" t="inlineStr">
        <is>
          <t>INV00014737</t>
        </is>
      </c>
      <c r="B607" t="inlineStr">
        <is>
          <t>contract_date_conflict</t>
        </is>
      </c>
      <c r="C607" t="inlineStr">
        <is>
          <t>medium</t>
        </is>
      </c>
      <c r="D607" s="14" t="n">
        <v>45566</v>
      </c>
      <c r="E607" t="inlineStr">
        <is>
          <t>C001029</t>
        </is>
      </c>
      <c r="F607" s="9" t="n">
        <v>232.05</v>
      </c>
      <c r="G607" t="inlineStr">
        <is>
          <t>Invoice date falls outside the linked contract</t>
        </is>
      </c>
    </row>
    <row r="608">
      <c r="A608" t="inlineStr">
        <is>
          <t>INV00014906</t>
        </is>
      </c>
      <c r="B608" t="inlineStr">
        <is>
          <t>contract_date_conflict</t>
        </is>
      </c>
      <c r="C608" t="inlineStr">
        <is>
          <t>medium</t>
        </is>
      </c>
      <c r="D608" s="14" t="n">
        <v>45566</v>
      </c>
      <c r="E608" t="inlineStr">
        <is>
          <t>C001042</t>
        </is>
      </c>
      <c r="F608" s="9" t="n">
        <v>232.05</v>
      </c>
      <c r="G608" t="inlineStr">
        <is>
          <t>Invoice date falls outside the linked contract</t>
        </is>
      </c>
    </row>
    <row r="609">
      <c r="A609" t="inlineStr">
        <is>
          <t>INV00015053</t>
        </is>
      </c>
      <c r="B609" t="inlineStr">
        <is>
          <t>contract_date_conflict</t>
        </is>
      </c>
      <c r="C609" t="inlineStr">
        <is>
          <t>medium</t>
        </is>
      </c>
      <c r="D609" s="14" t="n">
        <v>45566</v>
      </c>
      <c r="E609" t="inlineStr">
        <is>
          <t>C001053</t>
        </is>
      </c>
      <c r="F609" s="9" t="n">
        <v>1896</v>
      </c>
      <c r="G609" t="inlineStr">
        <is>
          <t>Invoice date falls outside the linked contract</t>
        </is>
      </c>
    </row>
    <row r="610">
      <c r="A610" t="inlineStr">
        <is>
          <t>INV00015762</t>
        </is>
      </c>
      <c r="B610" t="inlineStr">
        <is>
          <t>contract_date_conflict</t>
        </is>
      </c>
      <c r="C610" t="inlineStr">
        <is>
          <t>medium</t>
        </is>
      </c>
      <c r="D610" s="14" t="n">
        <v>45566</v>
      </c>
      <c r="E610" t="inlineStr">
        <is>
          <t>C001096</t>
        </is>
      </c>
      <c r="F610" s="9" t="n">
        <v>1564.2</v>
      </c>
      <c r="G610" t="inlineStr">
        <is>
          <t>Invoice date falls outside the linked contract</t>
        </is>
      </c>
    </row>
    <row r="611">
      <c r="A611" t="inlineStr">
        <is>
          <t>INV00015983</t>
        </is>
      </c>
      <c r="B611" t="inlineStr">
        <is>
          <t>contract_date_conflict</t>
        </is>
      </c>
      <c r="C611" t="inlineStr">
        <is>
          <t>medium</t>
        </is>
      </c>
      <c r="D611" s="14" t="n">
        <v>45566</v>
      </c>
      <c r="E611" t="inlineStr">
        <is>
          <t>C001113</t>
        </is>
      </c>
      <c r="F611" s="9" t="n">
        <v>8344</v>
      </c>
      <c r="G611" t="inlineStr">
        <is>
          <t>Invoice date falls outside the linked contract</t>
        </is>
      </c>
    </row>
    <row r="612">
      <c r="A612" t="inlineStr">
        <is>
          <t>INV00016002</t>
        </is>
      </c>
      <c r="B612" t="inlineStr">
        <is>
          <t>contract_date_conflict</t>
        </is>
      </c>
      <c r="C612" t="inlineStr">
        <is>
          <t>medium</t>
        </is>
      </c>
      <c r="D612" s="14" t="n">
        <v>45566</v>
      </c>
      <c r="E612" t="inlineStr">
        <is>
          <t>C001116</t>
        </is>
      </c>
      <c r="F612" s="9" t="n">
        <v>3033.6</v>
      </c>
      <c r="G612" t="inlineStr">
        <is>
          <t>Invoice date falls outside the linked contract</t>
        </is>
      </c>
    </row>
    <row r="613">
      <c r="A613" t="inlineStr">
        <is>
          <t>INV00016456</t>
        </is>
      </c>
      <c r="B613" t="inlineStr">
        <is>
          <t>contract_date_conflict</t>
        </is>
      </c>
      <c r="C613" t="inlineStr">
        <is>
          <t>medium</t>
        </is>
      </c>
      <c r="D613" s="14" t="n">
        <v>45566</v>
      </c>
      <c r="E613" t="inlineStr">
        <is>
          <t>C001148</t>
        </is>
      </c>
      <c r="F613" s="9" t="n">
        <v>1564.2</v>
      </c>
      <c r="G613" t="inlineStr">
        <is>
          <t>Invoice date falls outside the linked contract</t>
        </is>
      </c>
    </row>
    <row r="614">
      <c r="A614" t="inlineStr">
        <is>
          <t>INV00017020</t>
        </is>
      </c>
      <c r="B614" t="inlineStr">
        <is>
          <t>contract_date_conflict</t>
        </is>
      </c>
      <c r="C614" t="inlineStr">
        <is>
          <t>medium</t>
        </is>
      </c>
      <c r="D614" s="14" t="n">
        <v>45566</v>
      </c>
      <c r="E614" t="inlineStr">
        <is>
          <t>C001182</t>
        </is>
      </c>
      <c r="F614" s="9" t="n">
        <v>351</v>
      </c>
      <c r="G614" t="inlineStr">
        <is>
          <t>Invoice date falls outside the linked contract</t>
        </is>
      </c>
    </row>
    <row r="615">
      <c r="A615" t="inlineStr">
        <is>
          <t>INV00000067</t>
        </is>
      </c>
      <c r="B615" t="inlineStr">
        <is>
          <t>contract_date_conflict</t>
        </is>
      </c>
      <c r="C615" t="inlineStr">
        <is>
          <t>medium</t>
        </is>
      </c>
      <c r="D615" s="14" t="n">
        <v>45597</v>
      </c>
      <c r="E615" t="inlineStr">
        <is>
          <t>C000006</t>
        </is>
      </c>
      <c r="F615" s="9" t="n">
        <v>1275.85</v>
      </c>
      <c r="G615" t="inlineStr">
        <is>
          <t>Invoice date falls outside the linked contract</t>
        </is>
      </c>
    </row>
    <row r="616">
      <c r="A616" t="inlineStr">
        <is>
          <t>INV00002057</t>
        </is>
      </c>
      <c r="B616" t="inlineStr">
        <is>
          <t>contract_date_conflict</t>
        </is>
      </c>
      <c r="C616" t="inlineStr">
        <is>
          <t>medium</t>
        </is>
      </c>
      <c r="D616" s="14" t="n">
        <v>45597</v>
      </c>
      <c r="E616" t="inlineStr">
        <is>
          <t>C000143</t>
        </is>
      </c>
      <c r="F616" s="9" t="n">
        <v>1501</v>
      </c>
      <c r="G616" t="inlineStr">
        <is>
          <t>Invoice date falls outside the linked contract</t>
        </is>
      </c>
    </row>
    <row r="617">
      <c r="A617" t="inlineStr">
        <is>
          <t>INV00002213</t>
        </is>
      </c>
      <c r="B617" t="inlineStr">
        <is>
          <t>contract_date_conflict</t>
        </is>
      </c>
      <c r="C617" t="inlineStr">
        <is>
          <t>medium</t>
        </is>
      </c>
      <c r="D617" s="14" t="n">
        <v>45597</v>
      </c>
      <c r="E617" t="inlineStr">
        <is>
          <t>C000156</t>
        </is>
      </c>
      <c r="F617" s="9" t="n">
        <v>234</v>
      </c>
      <c r="G617" t="inlineStr">
        <is>
          <t>Invoice date falls outside the linked contract</t>
        </is>
      </c>
    </row>
    <row r="618">
      <c r="A618" t="inlineStr">
        <is>
          <t>INV00002283</t>
        </is>
      </c>
      <c r="B618" t="inlineStr">
        <is>
          <t>contract_date_conflict</t>
        </is>
      </c>
      <c r="C618" t="inlineStr">
        <is>
          <t>medium</t>
        </is>
      </c>
      <c r="D618" s="14" t="n">
        <v>45597</v>
      </c>
      <c r="E618" t="inlineStr">
        <is>
          <t>C000161</t>
        </is>
      </c>
      <c r="F618" s="9" t="n">
        <v>195</v>
      </c>
      <c r="G618" t="inlineStr">
        <is>
          <t>Invoice date falls outside the linked contract</t>
        </is>
      </c>
    </row>
    <row r="619">
      <c r="A619" t="inlineStr">
        <is>
          <t>INV00002822</t>
        </is>
      </c>
      <c r="B619" t="inlineStr">
        <is>
          <t>contract_date_conflict</t>
        </is>
      </c>
      <c r="C619" t="inlineStr">
        <is>
          <t>medium</t>
        </is>
      </c>
      <c r="D619" s="14" t="n">
        <v>45597</v>
      </c>
      <c r="E619" t="inlineStr">
        <is>
          <t>C000203</t>
        </is>
      </c>
      <c r="F619" s="9" t="n">
        <v>351</v>
      </c>
      <c r="G619" t="inlineStr">
        <is>
          <t>Invoice date falls outside the linked contract</t>
        </is>
      </c>
    </row>
    <row r="620">
      <c r="A620" t="inlineStr">
        <is>
          <t>INV00002906</t>
        </is>
      </c>
      <c r="B620" t="inlineStr">
        <is>
          <t>contract_date_conflict</t>
        </is>
      </c>
      <c r="C620" t="inlineStr">
        <is>
          <t>medium</t>
        </is>
      </c>
      <c r="D620" s="14" t="n">
        <v>45597</v>
      </c>
      <c r="E620" t="inlineStr">
        <is>
          <t>C000212</t>
        </is>
      </c>
      <c r="F620" s="9" t="n">
        <v>333.45</v>
      </c>
      <c r="G620" t="inlineStr">
        <is>
          <t>Invoice date falls outside the linked contract</t>
        </is>
      </c>
    </row>
    <row r="621">
      <c r="A621" t="inlineStr">
        <is>
          <t>INV00004085</t>
        </is>
      </c>
      <c r="B621" t="inlineStr">
        <is>
          <t>contract_date_conflict</t>
        </is>
      </c>
      <c r="C621" t="inlineStr">
        <is>
          <t>medium</t>
        </is>
      </c>
      <c r="D621" s="14" t="n">
        <v>45597</v>
      </c>
      <c r="E621" t="inlineStr">
        <is>
          <t>C000304</t>
        </is>
      </c>
      <c r="F621" s="9" t="n">
        <v>1576.05</v>
      </c>
      <c r="G621" t="inlineStr">
        <is>
          <t>Invoice date falls outside the linked contract</t>
        </is>
      </c>
    </row>
    <row r="622">
      <c r="A622" t="inlineStr">
        <is>
          <t>INV00005131</t>
        </is>
      </c>
      <c r="B622" t="inlineStr">
        <is>
          <t>contract_date_conflict</t>
        </is>
      </c>
      <c r="C622" t="inlineStr">
        <is>
          <t>medium</t>
        </is>
      </c>
      <c r="D622" s="14" t="n">
        <v>45597</v>
      </c>
      <c r="E622" t="inlineStr">
        <is>
          <t>C000370</t>
        </is>
      </c>
      <c r="F622" s="9" t="n">
        <v>1422</v>
      </c>
      <c r="G622" t="inlineStr">
        <is>
          <t>Invoice date falls outside the linked contract</t>
        </is>
      </c>
    </row>
    <row r="623">
      <c r="A623" t="inlineStr">
        <is>
          <t>INV00005817</t>
        </is>
      </c>
      <c r="B623" t="inlineStr">
        <is>
          <t>contract_date_conflict</t>
        </is>
      </c>
      <c r="C623" t="inlineStr">
        <is>
          <t>medium</t>
        </is>
      </c>
      <c r="D623" s="14" t="n">
        <v>45597</v>
      </c>
      <c r="E623" t="inlineStr">
        <is>
          <t>C000413</t>
        </is>
      </c>
      <c r="F623" s="9" t="n">
        <v>8493</v>
      </c>
      <c r="G623" t="inlineStr">
        <is>
          <t>Invoice date falls outside the linked contract</t>
        </is>
      </c>
    </row>
    <row r="624">
      <c r="A624" t="inlineStr">
        <is>
          <t>INV00006110</t>
        </is>
      </c>
      <c r="B624" t="inlineStr">
        <is>
          <t>contract_date_conflict</t>
        </is>
      </c>
      <c r="C624" t="inlineStr">
        <is>
          <t>medium</t>
        </is>
      </c>
      <c r="D624" s="14" t="n">
        <v>45597</v>
      </c>
      <c r="E624" t="inlineStr">
        <is>
          <t>C000434</t>
        </is>
      </c>
      <c r="F624" s="9" t="n">
        <v>175.5</v>
      </c>
      <c r="G624" t="inlineStr">
        <is>
          <t>Invoice date falls outside the linked contract</t>
        </is>
      </c>
    </row>
    <row r="625">
      <c r="A625" t="inlineStr">
        <is>
          <t>INV00007352</t>
        </is>
      </c>
      <c r="B625" t="inlineStr">
        <is>
          <t>contract_date_conflict</t>
        </is>
      </c>
      <c r="C625" t="inlineStr">
        <is>
          <t>medium</t>
        </is>
      </c>
      <c r="D625" s="14" t="n">
        <v>45597</v>
      </c>
      <c r="E625" t="inlineStr">
        <is>
          <t>C000517</t>
        </is>
      </c>
      <c r="F625" s="9" t="n">
        <v>7450</v>
      </c>
      <c r="G625" t="inlineStr">
        <is>
          <t>Invoice date falls outside the linked contract</t>
        </is>
      </c>
    </row>
    <row r="626">
      <c r="A626" t="inlineStr">
        <is>
          <t>INV00007720</t>
        </is>
      </c>
      <c r="B626" t="inlineStr">
        <is>
          <t>contract_date_conflict</t>
        </is>
      </c>
      <c r="C626" t="inlineStr">
        <is>
          <t>medium</t>
        </is>
      </c>
      <c r="D626" s="14" t="n">
        <v>45597</v>
      </c>
      <c r="E626" t="inlineStr">
        <is>
          <t>C000542</t>
        </is>
      </c>
      <c r="F626" s="9" t="n">
        <v>2923</v>
      </c>
      <c r="G626" t="inlineStr">
        <is>
          <t>Invoice date falls outside the linked contract</t>
        </is>
      </c>
    </row>
    <row r="627">
      <c r="A627" t="inlineStr">
        <is>
          <t>INV00008119</t>
        </is>
      </c>
      <c r="B627" t="inlineStr">
        <is>
          <t>contract_date_conflict</t>
        </is>
      </c>
      <c r="C627" t="inlineStr">
        <is>
          <t>medium</t>
        </is>
      </c>
      <c r="D627" s="14" t="n">
        <v>45597</v>
      </c>
      <c r="E627" t="inlineStr">
        <is>
          <t>C000575</t>
        </is>
      </c>
      <c r="F627" s="9" t="n">
        <v>165.75</v>
      </c>
      <c r="G627" t="inlineStr">
        <is>
          <t>Invoice date falls outside the linked contract</t>
        </is>
      </c>
    </row>
    <row r="628">
      <c r="A628" t="inlineStr">
        <is>
          <t>INV00009272</t>
        </is>
      </c>
      <c r="B628" t="inlineStr">
        <is>
          <t>contract_date_conflict</t>
        </is>
      </c>
      <c r="C628" t="inlineStr">
        <is>
          <t>medium</t>
        </is>
      </c>
      <c r="D628" s="14" t="n">
        <v>45597</v>
      </c>
      <c r="E628" t="inlineStr">
        <is>
          <t>C000651</t>
        </is>
      </c>
      <c r="F628" s="9" t="n">
        <v>1817</v>
      </c>
      <c r="G628" t="inlineStr">
        <is>
          <t>Invoice date falls outside the linked contract</t>
        </is>
      </c>
    </row>
    <row r="629">
      <c r="A629" t="inlineStr">
        <is>
          <t>INV00010307</t>
        </is>
      </c>
      <c r="B629" t="inlineStr">
        <is>
          <t>contract_date_conflict</t>
        </is>
      </c>
      <c r="C629" t="inlineStr">
        <is>
          <t>medium</t>
        </is>
      </c>
      <c r="D629" s="14" t="n">
        <v>45597</v>
      </c>
      <c r="E629" t="inlineStr">
        <is>
          <t>C000725</t>
        </is>
      </c>
      <c r="F629" s="9" t="n">
        <v>195</v>
      </c>
      <c r="G629" t="inlineStr">
        <is>
          <t>Invoice date falls outside the linked contract</t>
        </is>
      </c>
    </row>
    <row r="630">
      <c r="A630" t="inlineStr">
        <is>
          <t>INV00010528</t>
        </is>
      </c>
      <c r="B630" t="inlineStr">
        <is>
          <t>contract_date_conflict</t>
        </is>
      </c>
      <c r="C630" t="inlineStr">
        <is>
          <t>medium</t>
        </is>
      </c>
      <c r="D630" s="14" t="n">
        <v>45597</v>
      </c>
      <c r="E630" t="inlineStr">
        <is>
          <t>C000737</t>
        </is>
      </c>
      <c r="F630" s="9" t="n">
        <v>2275.2</v>
      </c>
      <c r="G630" t="inlineStr">
        <is>
          <t>Invoice date falls outside the linked contract</t>
        </is>
      </c>
    </row>
    <row r="631">
      <c r="A631" t="inlineStr">
        <is>
          <t>INV00010826</t>
        </is>
      </c>
      <c r="B631" t="inlineStr">
        <is>
          <t>contract_date_conflict</t>
        </is>
      </c>
      <c r="C631" t="inlineStr">
        <is>
          <t>medium</t>
        </is>
      </c>
      <c r="D631" s="14" t="n">
        <v>45597</v>
      </c>
      <c r="E631" t="inlineStr">
        <is>
          <t>C000758</t>
        </is>
      </c>
      <c r="F631" s="9" t="n">
        <v>8344</v>
      </c>
      <c r="G631" t="inlineStr">
        <is>
          <t>Invoice date falls outside the linked contract</t>
        </is>
      </c>
    </row>
    <row r="632">
      <c r="A632" t="inlineStr">
        <is>
          <t>INV00011790</t>
        </is>
      </c>
      <c r="B632" t="inlineStr">
        <is>
          <t>contract_date_conflict</t>
        </is>
      </c>
      <c r="C632" t="inlineStr">
        <is>
          <t>medium</t>
        </is>
      </c>
      <c r="D632" s="14" t="n">
        <v>45597</v>
      </c>
      <c r="E632" t="inlineStr">
        <is>
          <t>C000832</t>
        </is>
      </c>
      <c r="F632" s="9" t="n">
        <v>8344</v>
      </c>
      <c r="G632" t="inlineStr">
        <is>
          <t>Invoice date falls outside the linked contract</t>
        </is>
      </c>
    </row>
    <row r="633">
      <c r="A633" t="inlineStr">
        <is>
          <t>INV00013083</t>
        </is>
      </c>
      <c r="B633" t="inlineStr">
        <is>
          <t>contract_date_conflict</t>
        </is>
      </c>
      <c r="C633" t="inlineStr">
        <is>
          <t>medium</t>
        </is>
      </c>
      <c r="D633" s="14" t="n">
        <v>45597</v>
      </c>
      <c r="E633" t="inlineStr">
        <is>
          <t>C000919</t>
        </is>
      </c>
      <c r="F633" s="9" t="n">
        <v>703.95</v>
      </c>
      <c r="G633" t="inlineStr">
        <is>
          <t>Invoice date falls outside the linked contract</t>
        </is>
      </c>
    </row>
    <row r="634">
      <c r="A634" t="inlineStr">
        <is>
          <t>INV00013530</t>
        </is>
      </c>
      <c r="B634" t="inlineStr">
        <is>
          <t>contract_date_conflict</t>
        </is>
      </c>
      <c r="C634" t="inlineStr">
        <is>
          <t>medium</t>
        </is>
      </c>
      <c r="D634" s="14" t="n">
        <v>45597</v>
      </c>
      <c r="E634" t="inlineStr">
        <is>
          <t>C000953</t>
        </is>
      </c>
      <c r="F634" s="9" t="n">
        <v>1141.55</v>
      </c>
      <c r="G634" t="inlineStr">
        <is>
          <t>Invoice date falls outside the linked contract</t>
        </is>
      </c>
    </row>
    <row r="635">
      <c r="A635" t="inlineStr">
        <is>
          <t>INV00013615</t>
        </is>
      </c>
      <c r="B635" t="inlineStr">
        <is>
          <t>contract_date_conflict</t>
        </is>
      </c>
      <c r="C635" t="inlineStr">
        <is>
          <t>medium</t>
        </is>
      </c>
      <c r="D635" s="14" t="n">
        <v>45597</v>
      </c>
      <c r="E635" t="inlineStr">
        <is>
          <t>C000962</t>
        </is>
      </c>
      <c r="F635" s="9" t="n">
        <v>1659</v>
      </c>
      <c r="G635" t="inlineStr">
        <is>
          <t>Invoice date falls outside the linked contract</t>
        </is>
      </c>
    </row>
    <row r="636">
      <c r="A636" t="inlineStr">
        <is>
          <t>INV00013911</t>
        </is>
      </c>
      <c r="B636" t="inlineStr">
        <is>
          <t>contract_date_conflict</t>
        </is>
      </c>
      <c r="C636" t="inlineStr">
        <is>
          <t>medium</t>
        </is>
      </c>
      <c r="D636" s="14" t="n">
        <v>45597</v>
      </c>
      <c r="E636" t="inlineStr">
        <is>
          <t>C000983</t>
        </is>
      </c>
      <c r="F636" s="9" t="n">
        <v>12367</v>
      </c>
      <c r="G636" t="inlineStr">
        <is>
          <t>Invoice date falls outside the linked contract</t>
        </is>
      </c>
    </row>
    <row r="637">
      <c r="A637" t="inlineStr">
        <is>
          <t>INV00014501</t>
        </is>
      </c>
      <c r="B637" t="inlineStr">
        <is>
          <t>contract_date_conflict</t>
        </is>
      </c>
      <c r="C637" t="inlineStr">
        <is>
          <t>medium</t>
        </is>
      </c>
      <c r="D637" s="14" t="n">
        <v>45597</v>
      </c>
      <c r="E637" t="inlineStr">
        <is>
          <t>C001015</t>
        </is>
      </c>
      <c r="F637" s="9" t="n">
        <v>185.25</v>
      </c>
      <c r="G637" t="inlineStr">
        <is>
          <t>Invoice date falls outside the linked contract</t>
        </is>
      </c>
    </row>
    <row r="638">
      <c r="A638" t="inlineStr">
        <is>
          <t>INV00015026</t>
        </is>
      </c>
      <c r="B638" t="inlineStr">
        <is>
          <t>contract_date_conflict</t>
        </is>
      </c>
      <c r="C638" t="inlineStr">
        <is>
          <t>medium</t>
        </is>
      </c>
      <c r="D638" s="14" t="n">
        <v>45597</v>
      </c>
      <c r="E638" t="inlineStr">
        <is>
          <t>C001049</t>
        </is>
      </c>
      <c r="F638" s="9" t="n">
        <v>468</v>
      </c>
      <c r="G638" t="inlineStr">
        <is>
          <t>Invoice date falls outside the linked contract</t>
        </is>
      </c>
    </row>
    <row r="639">
      <c r="A639" t="inlineStr">
        <is>
          <t>INV00015257</t>
        </is>
      </c>
      <c r="B639" t="inlineStr">
        <is>
          <t>contract_date_conflict</t>
        </is>
      </c>
      <c r="C639" t="inlineStr">
        <is>
          <t>medium</t>
        </is>
      </c>
      <c r="D639" s="14" t="n">
        <v>45597</v>
      </c>
      <c r="E639" t="inlineStr">
        <is>
          <t>C001067</t>
        </is>
      </c>
      <c r="F639" s="9" t="n">
        <v>1137.6</v>
      </c>
      <c r="G639" t="inlineStr">
        <is>
          <t>Invoice date falls outside the linked contract</t>
        </is>
      </c>
    </row>
    <row r="640">
      <c r="A640" t="inlineStr">
        <is>
          <t>INV00015596</t>
        </is>
      </c>
      <c r="B640" t="inlineStr">
        <is>
          <t>contract_date_conflict</t>
        </is>
      </c>
      <c r="C640" t="inlineStr">
        <is>
          <t>medium</t>
        </is>
      </c>
      <c r="D640" s="14" t="n">
        <v>45597</v>
      </c>
      <c r="E640" t="inlineStr">
        <is>
          <t>C001082</t>
        </is>
      </c>
      <c r="F640" s="9" t="n">
        <v>15645</v>
      </c>
      <c r="G640" t="inlineStr">
        <is>
          <t>Invoice date falls outside the linked contract</t>
        </is>
      </c>
    </row>
    <row r="641">
      <c r="A641" t="inlineStr">
        <is>
          <t>INV00016053</t>
        </is>
      </c>
      <c r="B641" t="inlineStr">
        <is>
          <t>contract_date_conflict</t>
        </is>
      </c>
      <c r="C641" t="inlineStr">
        <is>
          <t>medium</t>
        </is>
      </c>
      <c r="D641" s="14" t="n">
        <v>45597</v>
      </c>
      <c r="E641" t="inlineStr">
        <is>
          <t>C001120</t>
        </is>
      </c>
      <c r="F641" s="9" t="n">
        <v>2528</v>
      </c>
      <c r="G641" t="inlineStr">
        <is>
          <t>Invoice date falls outside the linked contract</t>
        </is>
      </c>
    </row>
    <row r="642">
      <c r="A642" t="inlineStr">
        <is>
          <t>INV00001237</t>
        </is>
      </c>
      <c r="B642" t="inlineStr">
        <is>
          <t>contract_date_conflict</t>
        </is>
      </c>
      <c r="C642" t="inlineStr">
        <is>
          <t>medium</t>
        </is>
      </c>
      <c r="D642" s="14" t="n">
        <v>45627</v>
      </c>
      <c r="E642" t="inlineStr">
        <is>
          <t>C000081</t>
        </is>
      </c>
      <c r="F642" s="9" t="n">
        <v>185.25</v>
      </c>
      <c r="G642" t="inlineStr">
        <is>
          <t>Invoice date falls outside the linked contract</t>
        </is>
      </c>
    </row>
    <row r="643">
      <c r="A643" t="inlineStr">
        <is>
          <t>INV00001531</t>
        </is>
      </c>
      <c r="B643" t="inlineStr">
        <is>
          <t>contract_date_conflict</t>
        </is>
      </c>
      <c r="C643" t="inlineStr">
        <is>
          <t>medium</t>
        </is>
      </c>
      <c r="D643" s="14" t="n">
        <v>45627</v>
      </c>
      <c r="E643" t="inlineStr">
        <is>
          <t>C000102</t>
        </is>
      </c>
      <c r="F643" s="9" t="n">
        <v>15421.5</v>
      </c>
      <c r="G643" t="inlineStr">
        <is>
          <t>Invoice date falls outside the linked contract</t>
        </is>
      </c>
    </row>
    <row r="644">
      <c r="A644" t="inlineStr">
        <is>
          <t>INV00001740</t>
        </is>
      </c>
      <c r="B644" t="inlineStr">
        <is>
          <t>contract_date_conflict</t>
        </is>
      </c>
      <c r="C644" t="inlineStr">
        <is>
          <t>medium</t>
        </is>
      </c>
      <c r="D644" s="14" t="n">
        <v>45627</v>
      </c>
      <c r="E644" t="inlineStr">
        <is>
          <t>C000117</t>
        </is>
      </c>
      <c r="F644" s="9" t="n">
        <v>11607.1</v>
      </c>
      <c r="G644" t="inlineStr">
        <is>
          <t>Invoice date falls outside the linked contract</t>
        </is>
      </c>
    </row>
    <row r="645">
      <c r="A645" t="inlineStr">
        <is>
          <t>INV00002131</t>
        </is>
      </c>
      <c r="B645" t="inlineStr">
        <is>
          <t>contract_date_conflict</t>
        </is>
      </c>
      <c r="C645" t="inlineStr">
        <is>
          <t>medium</t>
        </is>
      </c>
      <c r="D645" s="14" t="n">
        <v>45627</v>
      </c>
      <c r="E645" t="inlineStr">
        <is>
          <t>C000150</t>
        </is>
      </c>
      <c r="F645" s="9" t="n">
        <v>3555</v>
      </c>
      <c r="G645" t="inlineStr">
        <is>
          <t>Invoice date falls outside the linked contract</t>
        </is>
      </c>
    </row>
    <row r="646">
      <c r="A646" t="inlineStr">
        <is>
          <t>INV00002270</t>
        </is>
      </c>
      <c r="B646" t="inlineStr">
        <is>
          <t>contract_date_conflict</t>
        </is>
      </c>
      <c r="C646" t="inlineStr">
        <is>
          <t>medium</t>
        </is>
      </c>
      <c r="D646" s="14" t="n">
        <v>45627</v>
      </c>
      <c r="E646" t="inlineStr">
        <is>
          <t>C000160</t>
        </is>
      </c>
      <c r="F646" s="9" t="n">
        <v>2061.9</v>
      </c>
      <c r="G646" t="inlineStr">
        <is>
          <t>Invoice date falls outside the linked contract</t>
        </is>
      </c>
    </row>
    <row r="647">
      <c r="A647" t="inlineStr">
        <is>
          <t>INV00002758</t>
        </is>
      </c>
      <c r="B647" t="inlineStr">
        <is>
          <t>contract_date_conflict</t>
        </is>
      </c>
      <c r="C647" t="inlineStr">
        <is>
          <t>medium</t>
        </is>
      </c>
      <c r="D647" s="14" t="n">
        <v>45627</v>
      </c>
      <c r="E647" t="inlineStr">
        <is>
          <t>C000198</t>
        </is>
      </c>
      <c r="F647" s="9" t="n">
        <v>1580</v>
      </c>
      <c r="G647" t="inlineStr">
        <is>
          <t>Invoice date falls outside the linked contract</t>
        </is>
      </c>
    </row>
    <row r="648">
      <c r="A648" t="inlineStr">
        <is>
          <t>INV00003597</t>
        </is>
      </c>
      <c r="B648" t="inlineStr">
        <is>
          <t>contract_date_conflict</t>
        </is>
      </c>
      <c r="C648" t="inlineStr">
        <is>
          <t>medium</t>
        </is>
      </c>
      <c r="D648" s="14" t="n">
        <v>45627</v>
      </c>
      <c r="E648" t="inlineStr">
        <is>
          <t>C000263</t>
        </is>
      </c>
      <c r="F648" s="9" t="n">
        <v>1350.9</v>
      </c>
      <c r="G648" t="inlineStr">
        <is>
          <t>Invoice date falls outside the linked contract</t>
        </is>
      </c>
    </row>
    <row r="649">
      <c r="A649" t="inlineStr">
        <is>
          <t>INV00004316</t>
        </is>
      </c>
      <c r="B649" t="inlineStr">
        <is>
          <t>contract_date_conflict</t>
        </is>
      </c>
      <c r="C649" t="inlineStr">
        <is>
          <t>medium</t>
        </is>
      </c>
      <c r="D649" s="14" t="n">
        <v>45627</v>
      </c>
      <c r="E649" t="inlineStr">
        <is>
          <t>C000322</t>
        </is>
      </c>
      <c r="F649" s="9" t="n">
        <v>407.55</v>
      </c>
      <c r="G649" t="inlineStr">
        <is>
          <t>Invoice date falls outside the linked contract</t>
        </is>
      </c>
    </row>
    <row r="650">
      <c r="A650" t="inlineStr">
        <is>
          <t>INV00004483</t>
        </is>
      </c>
      <c r="B650" t="inlineStr">
        <is>
          <t>contract_date_conflict</t>
        </is>
      </c>
      <c r="C650" t="inlineStr">
        <is>
          <t>medium</t>
        </is>
      </c>
      <c r="D650" s="14" t="n">
        <v>45627</v>
      </c>
      <c r="E650" t="inlineStr">
        <is>
          <t>C000335</t>
        </is>
      </c>
      <c r="F650" s="9" t="n">
        <v>1185</v>
      </c>
      <c r="G650" t="inlineStr">
        <is>
          <t>Invoice date falls outside the linked contract</t>
        </is>
      </c>
    </row>
    <row r="651">
      <c r="A651" t="inlineStr">
        <is>
          <t>INV00004767</t>
        </is>
      </c>
      <c r="B651" t="inlineStr">
        <is>
          <t>contract_date_conflict</t>
        </is>
      </c>
      <c r="C651" t="inlineStr">
        <is>
          <t>medium</t>
        </is>
      </c>
      <c r="D651" s="14" t="n">
        <v>45627</v>
      </c>
      <c r="E651" t="inlineStr">
        <is>
          <t>C000350</t>
        </is>
      </c>
      <c r="F651" s="9" t="n">
        <v>195</v>
      </c>
      <c r="G651" t="inlineStr">
        <is>
          <t>Invoice date falls outside the linked contract</t>
        </is>
      </c>
    </row>
    <row r="652">
      <c r="A652" t="inlineStr">
        <is>
          <t>INV00005345</t>
        </is>
      </c>
      <c r="B652" t="inlineStr">
        <is>
          <t>contract_date_conflict</t>
        </is>
      </c>
      <c r="C652" t="inlineStr">
        <is>
          <t>medium</t>
        </is>
      </c>
      <c r="D652" s="14" t="n">
        <v>45627</v>
      </c>
      <c r="E652" t="inlineStr">
        <is>
          <t>C000385</t>
        </is>
      </c>
      <c r="F652" s="9" t="n">
        <v>331.5</v>
      </c>
      <c r="G652" t="inlineStr">
        <is>
          <t>Invoice date falls outside the linked contract</t>
        </is>
      </c>
    </row>
    <row r="653">
      <c r="A653" t="inlineStr">
        <is>
          <t>INV00006183</t>
        </is>
      </c>
      <c r="B653" t="inlineStr">
        <is>
          <t>contract_date_conflict</t>
        </is>
      </c>
      <c r="C653" t="inlineStr">
        <is>
          <t>medium</t>
        </is>
      </c>
      <c r="D653" s="14" t="n">
        <v>45627</v>
      </c>
      <c r="E653" t="inlineStr">
        <is>
          <t>C000440</t>
        </is>
      </c>
      <c r="F653" s="9" t="n">
        <v>312</v>
      </c>
      <c r="G653" t="inlineStr">
        <is>
          <t>Invoice date falls outside the linked contract</t>
        </is>
      </c>
    </row>
    <row r="654">
      <c r="A654" t="inlineStr">
        <is>
          <t>INV00007616</t>
        </is>
      </c>
      <c r="B654" t="inlineStr">
        <is>
          <t>contract_date_conflict</t>
        </is>
      </c>
      <c r="C654" t="inlineStr">
        <is>
          <t>medium</t>
        </is>
      </c>
      <c r="D654" s="14" t="n">
        <v>45627</v>
      </c>
      <c r="E654" t="inlineStr">
        <is>
          <t>C000535</t>
        </is>
      </c>
      <c r="F654" s="9" t="n">
        <v>165.75</v>
      </c>
      <c r="G654" t="inlineStr">
        <is>
          <t>Invoice date falls outside the linked contract</t>
        </is>
      </c>
    </row>
    <row r="655">
      <c r="A655" t="inlineStr">
        <is>
          <t>INV00008736</t>
        </is>
      </c>
      <c r="B655" t="inlineStr">
        <is>
          <t>contract_date_conflict</t>
        </is>
      </c>
      <c r="C655" t="inlineStr">
        <is>
          <t>medium</t>
        </is>
      </c>
      <c r="D655" s="14" t="n">
        <v>45627</v>
      </c>
      <c r="E655" t="inlineStr">
        <is>
          <t>C000614</t>
        </is>
      </c>
      <c r="F655" s="9" t="n">
        <v>1185</v>
      </c>
      <c r="G655" t="inlineStr">
        <is>
          <t>Invoice date falls outside the linked contract</t>
        </is>
      </c>
    </row>
    <row r="656">
      <c r="A656" t="inlineStr">
        <is>
          <t>INV00009521</t>
        </is>
      </c>
      <c r="B656" t="inlineStr">
        <is>
          <t>contract_date_conflict</t>
        </is>
      </c>
      <c r="C656" t="inlineStr">
        <is>
          <t>medium</t>
        </is>
      </c>
      <c r="D656" s="14" t="n">
        <v>45627</v>
      </c>
      <c r="E656" t="inlineStr">
        <is>
          <t>C000670</t>
        </is>
      </c>
      <c r="F656" s="9" t="n">
        <v>195</v>
      </c>
      <c r="G656" t="inlineStr">
        <is>
          <t>Invoice date falls outside the linked contract</t>
        </is>
      </c>
    </row>
    <row r="657">
      <c r="A657" t="inlineStr">
        <is>
          <t>INV00009583</t>
        </is>
      </c>
      <c r="B657" t="inlineStr">
        <is>
          <t>contract_date_conflict</t>
        </is>
      </c>
      <c r="C657" t="inlineStr">
        <is>
          <t>medium</t>
        </is>
      </c>
      <c r="D657" s="14" t="n">
        <v>45627</v>
      </c>
      <c r="E657" t="inlineStr">
        <is>
          <t>C000675</t>
        </is>
      </c>
      <c r="F657" s="9" t="n">
        <v>1066.5</v>
      </c>
      <c r="G657" t="inlineStr">
        <is>
          <t>Invoice date falls outside the linked contract</t>
        </is>
      </c>
    </row>
    <row r="658">
      <c r="A658" t="inlineStr">
        <is>
          <t>INV00009689</t>
        </is>
      </c>
      <c r="B658" t="inlineStr">
        <is>
          <t>contract_date_conflict</t>
        </is>
      </c>
      <c r="C658" t="inlineStr">
        <is>
          <t>medium</t>
        </is>
      </c>
      <c r="D658" s="14" t="n">
        <v>45627</v>
      </c>
      <c r="E658" t="inlineStr">
        <is>
          <t>C000683</t>
        </is>
      </c>
      <c r="F658" s="9" t="n">
        <v>444.6</v>
      </c>
      <c r="G658" t="inlineStr">
        <is>
          <t>Invoice date falls outside the linked contract</t>
        </is>
      </c>
    </row>
    <row r="659">
      <c r="A659" t="inlineStr">
        <is>
          <t>INV00010399</t>
        </is>
      </c>
      <c r="B659" t="inlineStr">
        <is>
          <t>contract_date_conflict</t>
        </is>
      </c>
      <c r="C659" t="inlineStr">
        <is>
          <t>medium</t>
        </is>
      </c>
      <c r="D659" s="14" t="n">
        <v>45627</v>
      </c>
      <c r="E659" t="inlineStr">
        <is>
          <t>C000730</t>
        </is>
      </c>
      <c r="F659" s="9" t="n">
        <v>1343</v>
      </c>
      <c r="G659" t="inlineStr">
        <is>
          <t>Invoice date falls outside the linked contract</t>
        </is>
      </c>
    </row>
    <row r="660">
      <c r="A660" t="inlineStr">
        <is>
          <t>INV00011012</t>
        </is>
      </c>
      <c r="B660" t="inlineStr">
        <is>
          <t>contract_date_conflict</t>
        </is>
      </c>
      <c r="C660" t="inlineStr">
        <is>
          <t>medium</t>
        </is>
      </c>
      <c r="D660" s="14" t="n">
        <v>45627</v>
      </c>
      <c r="E660" t="inlineStr">
        <is>
          <t>C000774</t>
        </is>
      </c>
      <c r="F660" s="9" t="n">
        <v>1951.3</v>
      </c>
      <c r="G660" t="inlineStr">
        <is>
          <t>Invoice date falls outside the linked contract</t>
        </is>
      </c>
    </row>
    <row r="661">
      <c r="A661" t="inlineStr">
        <is>
          <t>INV00011566</t>
        </is>
      </c>
      <c r="B661" t="inlineStr">
        <is>
          <t>contract_date_conflict</t>
        </is>
      </c>
      <c r="C661" t="inlineStr">
        <is>
          <t>medium</t>
        </is>
      </c>
      <c r="D661" s="14" t="n">
        <v>45627</v>
      </c>
      <c r="E661" t="inlineStr">
        <is>
          <t>C000813</t>
        </is>
      </c>
      <c r="F661" s="9" t="n">
        <v>259.35</v>
      </c>
      <c r="G661" t="inlineStr">
        <is>
          <t>Invoice date falls outside the linked contract</t>
        </is>
      </c>
    </row>
    <row r="662">
      <c r="A662" t="inlineStr">
        <is>
          <t>INV00012757</t>
        </is>
      </c>
      <c r="B662" t="inlineStr">
        <is>
          <t>contract_date_conflict</t>
        </is>
      </c>
      <c r="C662" t="inlineStr">
        <is>
          <t>medium</t>
        </is>
      </c>
      <c r="D662" s="14" t="n">
        <v>45627</v>
      </c>
      <c r="E662" t="inlineStr">
        <is>
          <t>C000898</t>
        </is>
      </c>
      <c r="F662" s="9" t="n">
        <v>1185</v>
      </c>
      <c r="G662" t="inlineStr">
        <is>
          <t>Invoice date falls outside the linked contract</t>
        </is>
      </c>
    </row>
    <row r="663">
      <c r="A663" t="inlineStr">
        <is>
          <t>INV00014250</t>
        </is>
      </c>
      <c r="B663" t="inlineStr">
        <is>
          <t>contract_date_conflict</t>
        </is>
      </c>
      <c r="C663" t="inlineStr">
        <is>
          <t>medium</t>
        </is>
      </c>
      <c r="D663" s="14" t="n">
        <v>45627</v>
      </c>
      <c r="E663" t="inlineStr">
        <is>
          <t>C001002</t>
        </is>
      </c>
      <c r="F663" s="9" t="n">
        <v>9685</v>
      </c>
      <c r="G663" t="inlineStr">
        <is>
          <t>Invoice date falls outside the linked contract</t>
        </is>
      </c>
    </row>
    <row r="664">
      <c r="A664" t="inlineStr">
        <is>
          <t>INV00014342</t>
        </is>
      </c>
      <c r="B664" t="inlineStr">
        <is>
          <t>contract_date_conflict</t>
        </is>
      </c>
      <c r="C664" t="inlineStr">
        <is>
          <t>medium</t>
        </is>
      </c>
      <c r="D664" s="14" t="n">
        <v>45627</v>
      </c>
      <c r="E664" t="inlineStr">
        <is>
          <t>C001006</t>
        </is>
      </c>
      <c r="F664" s="9" t="n">
        <v>1200.8</v>
      </c>
      <c r="G664" t="inlineStr">
        <is>
          <t>Invoice date falls outside the linked contract</t>
        </is>
      </c>
    </row>
    <row r="665">
      <c r="A665" t="inlineStr">
        <is>
          <t>INV00014766</t>
        </is>
      </c>
      <c r="B665" t="inlineStr">
        <is>
          <t>contract_date_conflict</t>
        </is>
      </c>
      <c r="C665" t="inlineStr">
        <is>
          <t>medium</t>
        </is>
      </c>
      <c r="D665" s="14" t="n">
        <v>45627</v>
      </c>
      <c r="E665" t="inlineStr">
        <is>
          <t>C001032</t>
        </is>
      </c>
      <c r="F665" s="9" t="n">
        <v>8642</v>
      </c>
      <c r="G665" t="inlineStr">
        <is>
          <t>Invoice date falls outside the linked contract</t>
        </is>
      </c>
    </row>
    <row r="666">
      <c r="A666" t="inlineStr">
        <is>
          <t>INV00016612</t>
        </is>
      </c>
      <c r="B666" t="inlineStr">
        <is>
          <t>contract_date_conflict</t>
        </is>
      </c>
      <c r="C666" t="inlineStr">
        <is>
          <t>medium</t>
        </is>
      </c>
      <c r="D666" s="14" t="n">
        <v>45627</v>
      </c>
      <c r="E666" t="inlineStr">
        <is>
          <t>C001156</t>
        </is>
      </c>
      <c r="F666" s="9" t="n">
        <v>386.1</v>
      </c>
      <c r="G666" t="inlineStr">
        <is>
          <t>Invoice date falls outside the linked contract</t>
        </is>
      </c>
    </row>
    <row r="667">
      <c r="A667" t="inlineStr">
        <is>
          <t>INV00016789</t>
        </is>
      </c>
      <c r="B667" t="inlineStr">
        <is>
          <t>contract_date_conflict</t>
        </is>
      </c>
      <c r="C667" t="inlineStr">
        <is>
          <t>medium</t>
        </is>
      </c>
      <c r="D667" s="14" t="n">
        <v>45627</v>
      </c>
      <c r="E667" t="inlineStr">
        <is>
          <t>C001167</t>
        </is>
      </c>
      <c r="F667" s="9" t="n">
        <v>1544.45</v>
      </c>
      <c r="G667" t="inlineStr">
        <is>
          <t>Invoice date falls outside the linked contract</t>
        </is>
      </c>
    </row>
    <row r="668">
      <c r="A668" t="inlineStr">
        <is>
          <t>INV00016886</t>
        </is>
      </c>
      <c r="B668" t="inlineStr">
        <is>
          <t>contract_date_conflict</t>
        </is>
      </c>
      <c r="C668" t="inlineStr">
        <is>
          <t>medium</t>
        </is>
      </c>
      <c r="D668" s="14" t="n">
        <v>45627</v>
      </c>
      <c r="E668" t="inlineStr">
        <is>
          <t>C001173</t>
        </is>
      </c>
      <c r="F668" s="9" t="n">
        <v>1185</v>
      </c>
      <c r="G668" t="inlineStr">
        <is>
          <t>Invoice date falls outside the linked contract</t>
        </is>
      </c>
    </row>
    <row r="669">
      <c r="A669" t="inlineStr">
        <is>
          <t>INV00000026</t>
        </is>
      </c>
      <c r="B669" t="inlineStr">
        <is>
          <t>contract_date_conflict</t>
        </is>
      </c>
      <c r="C669" t="inlineStr">
        <is>
          <t>medium</t>
        </is>
      </c>
      <c r="D669" s="14" t="n">
        <v>45658</v>
      </c>
      <c r="E669" t="inlineStr">
        <is>
          <t>C000004</t>
        </is>
      </c>
      <c r="F669" s="9" t="n">
        <v>198.9</v>
      </c>
      <c r="G669" t="inlineStr">
        <is>
          <t>Invoice date falls outside the linked contract</t>
        </is>
      </c>
    </row>
    <row r="670">
      <c r="A670" t="inlineStr">
        <is>
          <t>INV00000081</t>
        </is>
      </c>
      <c r="B670" t="inlineStr">
        <is>
          <t>contract_date_conflict</t>
        </is>
      </c>
      <c r="C670" t="inlineStr">
        <is>
          <t>medium</t>
        </is>
      </c>
      <c r="D670" s="14" t="n">
        <v>45658</v>
      </c>
      <c r="E670" t="inlineStr">
        <is>
          <t>C000008</t>
        </is>
      </c>
      <c r="F670" s="9" t="n">
        <v>2026.35</v>
      </c>
      <c r="G670" t="inlineStr">
        <is>
          <t>Invoice date falls outside the linked contract</t>
        </is>
      </c>
    </row>
    <row r="671">
      <c r="A671" t="inlineStr">
        <is>
          <t>INV00000130</t>
        </is>
      </c>
      <c r="B671" t="inlineStr">
        <is>
          <t>contract_date_conflict</t>
        </is>
      </c>
      <c r="C671" t="inlineStr">
        <is>
          <t>medium</t>
        </is>
      </c>
      <c r="D671" s="14" t="n">
        <v>45658</v>
      </c>
      <c r="E671" t="inlineStr">
        <is>
          <t>C000013</t>
        </is>
      </c>
      <c r="F671" s="9" t="n">
        <v>156</v>
      </c>
      <c r="G671" t="inlineStr">
        <is>
          <t>Invoice date falls outside the linked contract</t>
        </is>
      </c>
    </row>
    <row r="672">
      <c r="A672" t="inlineStr">
        <is>
          <t>INV00000905</t>
        </is>
      </c>
      <c r="B672" t="inlineStr">
        <is>
          <t>contract_date_conflict</t>
        </is>
      </c>
      <c r="C672" t="inlineStr">
        <is>
          <t>medium</t>
        </is>
      </c>
      <c r="D672" s="14" t="n">
        <v>45658</v>
      </c>
      <c r="E672" t="inlineStr">
        <is>
          <t>C000056</t>
        </is>
      </c>
      <c r="F672" s="9" t="n">
        <v>10757.8</v>
      </c>
      <c r="G672" t="inlineStr">
        <is>
          <t>Invoice date falls outside the linked contract</t>
        </is>
      </c>
    </row>
    <row r="673">
      <c r="A673" t="inlineStr">
        <is>
          <t>INV00001277</t>
        </is>
      </c>
      <c r="B673" t="inlineStr">
        <is>
          <t>contract_date_conflict</t>
        </is>
      </c>
      <c r="C673" t="inlineStr">
        <is>
          <t>medium</t>
        </is>
      </c>
      <c r="D673" s="14" t="n">
        <v>45658</v>
      </c>
      <c r="E673" t="inlineStr">
        <is>
          <t>C000084</t>
        </is>
      </c>
      <c r="F673" s="9" t="n">
        <v>222.3</v>
      </c>
      <c r="G673" t="inlineStr">
        <is>
          <t>Invoice date falls outside the linked contract</t>
        </is>
      </c>
    </row>
    <row r="674">
      <c r="A674" t="inlineStr">
        <is>
          <t>INV00001370</t>
        </is>
      </c>
      <c r="B674" t="inlineStr">
        <is>
          <t>contract_date_conflict</t>
        </is>
      </c>
      <c r="C674" t="inlineStr">
        <is>
          <t>medium</t>
        </is>
      </c>
      <c r="D674" s="14" t="n">
        <v>45658</v>
      </c>
      <c r="E674" t="inlineStr">
        <is>
          <t>C000090</t>
        </is>
      </c>
      <c r="F674" s="9" t="n">
        <v>1880.2</v>
      </c>
      <c r="G674" t="inlineStr">
        <is>
          <t>Invoice date falls outside the linked contract</t>
        </is>
      </c>
    </row>
    <row r="675">
      <c r="A675" t="inlineStr">
        <is>
          <t>INV00001471</t>
        </is>
      </c>
      <c r="B675" t="inlineStr">
        <is>
          <t>contract_date_conflict</t>
        </is>
      </c>
      <c r="C675" t="inlineStr">
        <is>
          <t>medium</t>
        </is>
      </c>
      <c r="D675" s="14" t="n">
        <v>45658</v>
      </c>
      <c r="E675" t="inlineStr">
        <is>
          <t>C000097</t>
        </is>
      </c>
      <c r="F675" s="9" t="n">
        <v>1422</v>
      </c>
      <c r="G675" t="inlineStr">
        <is>
          <t>Invoice date falls outside the linked contract</t>
        </is>
      </c>
    </row>
    <row r="676">
      <c r="A676" t="inlineStr">
        <is>
          <t>INV00002525</t>
        </is>
      </c>
      <c r="B676" t="inlineStr">
        <is>
          <t>contract_date_conflict</t>
        </is>
      </c>
      <c r="C676" t="inlineStr">
        <is>
          <t>medium</t>
        </is>
      </c>
      <c r="D676" s="14" t="n">
        <v>45658</v>
      </c>
      <c r="E676" t="inlineStr">
        <is>
          <t>C000177</t>
        </is>
      </c>
      <c r="F676" s="9" t="n">
        <v>8776.1</v>
      </c>
      <c r="G676" t="inlineStr">
        <is>
          <t>Invoice date falls outside the linked contract</t>
        </is>
      </c>
    </row>
    <row r="677">
      <c r="A677" t="inlineStr">
        <is>
          <t>INV00002687</t>
        </is>
      </c>
      <c r="B677" t="inlineStr">
        <is>
          <t>contract_date_conflict</t>
        </is>
      </c>
      <c r="C677" t="inlineStr">
        <is>
          <t>medium</t>
        </is>
      </c>
      <c r="D677" s="14" t="n">
        <v>45658</v>
      </c>
      <c r="E677" t="inlineStr">
        <is>
          <t>C000192</t>
        </is>
      </c>
      <c r="F677" s="9" t="n">
        <v>8634.549999999999</v>
      </c>
      <c r="G677" t="inlineStr">
        <is>
          <t>Invoice date falls outside the linked contract</t>
        </is>
      </c>
    </row>
    <row r="678">
      <c r="A678" t="inlineStr">
        <is>
          <t>INV00002989</t>
        </is>
      </c>
      <c r="B678" t="inlineStr">
        <is>
          <t>contract_date_conflict</t>
        </is>
      </c>
      <c r="C678" t="inlineStr">
        <is>
          <t>medium</t>
        </is>
      </c>
      <c r="D678" s="14" t="n">
        <v>45658</v>
      </c>
      <c r="E678" t="inlineStr">
        <is>
          <t>C000218</t>
        </is>
      </c>
      <c r="F678" s="9" t="n">
        <v>296.4</v>
      </c>
      <c r="G678" t="inlineStr">
        <is>
          <t>Invoice date falls outside the linked contract</t>
        </is>
      </c>
    </row>
    <row r="679">
      <c r="A679" t="inlineStr">
        <is>
          <t>INV00003640</t>
        </is>
      </c>
      <c r="B679" t="inlineStr">
        <is>
          <t>contract_date_conflict</t>
        </is>
      </c>
      <c r="C679" t="inlineStr">
        <is>
          <t>medium</t>
        </is>
      </c>
      <c r="D679" s="14" t="n">
        <v>45658</v>
      </c>
      <c r="E679" t="inlineStr">
        <is>
          <t>C000266</t>
        </is>
      </c>
      <c r="F679" s="9" t="n">
        <v>195</v>
      </c>
      <c r="G679" t="inlineStr">
        <is>
          <t>Invoice date falls outside the linked contract</t>
        </is>
      </c>
    </row>
    <row r="680">
      <c r="A680" t="inlineStr">
        <is>
          <t>INV00005333</t>
        </is>
      </c>
      <c r="B680" t="inlineStr">
        <is>
          <t>contract_date_conflict</t>
        </is>
      </c>
      <c r="C680" t="inlineStr">
        <is>
          <t>medium</t>
        </is>
      </c>
      <c r="D680" s="14" t="n">
        <v>45658</v>
      </c>
      <c r="E680" t="inlineStr">
        <is>
          <t>C000384</t>
        </is>
      </c>
      <c r="F680" s="9" t="n">
        <v>1264</v>
      </c>
      <c r="G680" t="inlineStr">
        <is>
          <t>Invoice date falls outside the linked contract</t>
        </is>
      </c>
    </row>
    <row r="681">
      <c r="A681" t="inlineStr">
        <is>
          <t>INV00006122</t>
        </is>
      </c>
      <c r="B681" t="inlineStr">
        <is>
          <t>contract_date_conflict</t>
        </is>
      </c>
      <c r="C681" t="inlineStr">
        <is>
          <t>medium</t>
        </is>
      </c>
      <c r="D681" s="14" t="n">
        <v>45658</v>
      </c>
      <c r="E681" t="inlineStr">
        <is>
          <t>C000436</t>
        </is>
      </c>
      <c r="F681" s="9" t="n">
        <v>390</v>
      </c>
      <c r="G681" t="inlineStr">
        <is>
          <t>Invoice date falls outside the linked contract</t>
        </is>
      </c>
    </row>
    <row r="682">
      <c r="A682" t="inlineStr">
        <is>
          <t>INV00006711</t>
        </is>
      </c>
      <c r="B682" t="inlineStr">
        <is>
          <t>contract_date_conflict</t>
        </is>
      </c>
      <c r="C682" t="inlineStr">
        <is>
          <t>medium</t>
        </is>
      </c>
      <c r="D682" s="14" t="n">
        <v>45658</v>
      </c>
      <c r="E682" t="inlineStr">
        <is>
          <t>C000478</t>
        </is>
      </c>
      <c r="F682" s="9" t="n">
        <v>195</v>
      </c>
      <c r="G682" t="inlineStr">
        <is>
          <t>Invoice date falls outside the linked contract</t>
        </is>
      </c>
    </row>
    <row r="683">
      <c r="A683" t="inlineStr">
        <is>
          <t>INV00007749</t>
        </is>
      </c>
      <c r="B683" t="inlineStr">
        <is>
          <t>contract_date_conflict</t>
        </is>
      </c>
      <c r="C683" t="inlineStr">
        <is>
          <t>medium</t>
        </is>
      </c>
      <c r="D683" s="14" t="n">
        <v>45658</v>
      </c>
      <c r="E683" t="inlineStr">
        <is>
          <t>C000546</t>
        </is>
      </c>
      <c r="F683" s="9" t="n">
        <v>1880.2</v>
      </c>
      <c r="G683" t="inlineStr">
        <is>
          <t>Invoice date falls outside the linked contract</t>
        </is>
      </c>
    </row>
    <row r="684">
      <c r="A684" t="inlineStr">
        <is>
          <t>INV00009112</t>
        </is>
      </c>
      <c r="B684" t="inlineStr">
        <is>
          <t>contract_date_conflict</t>
        </is>
      </c>
      <c r="C684" t="inlineStr">
        <is>
          <t>medium</t>
        </is>
      </c>
      <c r="D684" s="14" t="n">
        <v>45658</v>
      </c>
      <c r="E684" t="inlineStr">
        <is>
          <t>C000637</t>
        </is>
      </c>
      <c r="F684" s="9" t="n">
        <v>1007.25</v>
      </c>
      <c r="G684" t="inlineStr">
        <is>
          <t>Invoice date falls outside the linked contract</t>
        </is>
      </c>
    </row>
    <row r="685">
      <c r="A685" t="inlineStr">
        <is>
          <t>INV00009869</t>
        </is>
      </c>
      <c r="B685" t="inlineStr">
        <is>
          <t>contract_date_conflict</t>
        </is>
      </c>
      <c r="C685" t="inlineStr">
        <is>
          <t>medium</t>
        </is>
      </c>
      <c r="D685" s="14" t="n">
        <v>45658</v>
      </c>
      <c r="E685" t="inlineStr">
        <is>
          <t>C000696</t>
        </is>
      </c>
      <c r="F685" s="9" t="n">
        <v>351</v>
      </c>
      <c r="G685" t="inlineStr">
        <is>
          <t>Invoice date falls outside the linked contract</t>
        </is>
      </c>
    </row>
    <row r="686">
      <c r="A686" t="inlineStr">
        <is>
          <t>INV00010245</t>
        </is>
      </c>
      <c r="B686" t="inlineStr">
        <is>
          <t>contract_date_conflict</t>
        </is>
      </c>
      <c r="C686" t="inlineStr">
        <is>
          <t>medium</t>
        </is>
      </c>
      <c r="D686" s="14" t="n">
        <v>45658</v>
      </c>
      <c r="E686" t="inlineStr">
        <is>
          <t>C000721</t>
        </is>
      </c>
      <c r="F686" s="9" t="n">
        <v>10877</v>
      </c>
      <c r="G686" t="inlineStr">
        <is>
          <t>Invoice date falls outside the linked contract</t>
        </is>
      </c>
    </row>
    <row r="687">
      <c r="A687" t="inlineStr">
        <is>
          <t>INV00010913</t>
        </is>
      </c>
      <c r="B687" t="inlineStr">
        <is>
          <t>contract_date_conflict</t>
        </is>
      </c>
      <c r="C687" t="inlineStr">
        <is>
          <t>medium</t>
        </is>
      </c>
      <c r="D687" s="14" t="n">
        <v>45658</v>
      </c>
      <c r="E687" t="inlineStr">
        <is>
          <t>C000766</t>
        </is>
      </c>
      <c r="F687" s="9" t="n">
        <v>429</v>
      </c>
      <c r="G687" t="inlineStr">
        <is>
          <t>Invoice date falls outside the linked contract</t>
        </is>
      </c>
    </row>
    <row r="688">
      <c r="A688" t="inlineStr">
        <is>
          <t>INV00012278</t>
        </is>
      </c>
      <c r="B688" t="inlineStr">
        <is>
          <t>contract_date_conflict</t>
        </is>
      </c>
      <c r="C688" t="inlineStr">
        <is>
          <t>medium</t>
        </is>
      </c>
      <c r="D688" s="14" t="n">
        <v>45658</v>
      </c>
      <c r="E688" t="inlineStr">
        <is>
          <t>C000864</t>
        </is>
      </c>
      <c r="F688" s="9" t="n">
        <v>1975</v>
      </c>
      <c r="G688" t="inlineStr">
        <is>
          <t>Invoice date falls outside the linked contract</t>
        </is>
      </c>
    </row>
    <row r="689">
      <c r="A689" t="inlineStr">
        <is>
          <t>INV00015215</t>
        </is>
      </c>
      <c r="B689" t="inlineStr">
        <is>
          <t>contract_date_conflict</t>
        </is>
      </c>
      <c r="C689" t="inlineStr">
        <is>
          <t>medium</t>
        </is>
      </c>
      <c r="D689" s="14" t="n">
        <v>45658</v>
      </c>
      <c r="E689" t="inlineStr">
        <is>
          <t>C001065</t>
        </is>
      </c>
      <c r="F689" s="9" t="n">
        <v>390</v>
      </c>
      <c r="G689" t="inlineStr">
        <is>
          <t>Invoice date falls outside the linked contract</t>
        </is>
      </c>
    </row>
    <row r="690">
      <c r="A690" t="inlineStr">
        <is>
          <t>INV00015667</t>
        </is>
      </c>
      <c r="B690" t="inlineStr">
        <is>
          <t>contract_date_conflict</t>
        </is>
      </c>
      <c r="C690" t="inlineStr">
        <is>
          <t>medium</t>
        </is>
      </c>
      <c r="D690" s="14" t="n">
        <v>45658</v>
      </c>
      <c r="E690" t="inlineStr">
        <is>
          <t>C001087</t>
        </is>
      </c>
      <c r="F690" s="9" t="n">
        <v>195</v>
      </c>
      <c r="G690" t="inlineStr">
        <is>
          <t>Invoice date falls outside the linked contract</t>
        </is>
      </c>
    </row>
    <row r="691">
      <c r="A691" t="inlineStr">
        <is>
          <t>INV00015969</t>
        </is>
      </c>
      <c r="B691" t="inlineStr">
        <is>
          <t>contract_date_conflict</t>
        </is>
      </c>
      <c r="C691" t="inlineStr">
        <is>
          <t>medium</t>
        </is>
      </c>
      <c r="D691" s="14" t="n">
        <v>45658</v>
      </c>
      <c r="E691" t="inlineStr">
        <is>
          <t>C001109</t>
        </is>
      </c>
      <c r="F691" s="9" t="n">
        <v>245.7</v>
      </c>
      <c r="G691" t="inlineStr">
        <is>
          <t>Invoice date falls outside the linked contract</t>
        </is>
      </c>
    </row>
    <row r="692">
      <c r="A692" t="inlineStr">
        <is>
          <t>INV00016600</t>
        </is>
      </c>
      <c r="B692" t="inlineStr">
        <is>
          <t>contract_date_conflict</t>
        </is>
      </c>
      <c r="C692" t="inlineStr">
        <is>
          <t>medium</t>
        </is>
      </c>
      <c r="D692" s="14" t="n">
        <v>45658</v>
      </c>
      <c r="E692" t="inlineStr">
        <is>
          <t>C001155</t>
        </is>
      </c>
      <c r="F692" s="9" t="n">
        <v>1564.2</v>
      </c>
      <c r="G692" t="inlineStr">
        <is>
          <t>Invoice date falls outside the linked contract</t>
        </is>
      </c>
    </row>
    <row r="693">
      <c r="A693" t="inlineStr">
        <is>
          <t>INV00000918</t>
        </is>
      </c>
      <c r="B693" t="inlineStr">
        <is>
          <t>contract_date_conflict</t>
        </is>
      </c>
      <c r="C693" t="inlineStr">
        <is>
          <t>medium</t>
        </is>
      </c>
      <c r="D693" s="14" t="n">
        <v>45689</v>
      </c>
      <c r="E693" t="inlineStr">
        <is>
          <t>C000059</t>
        </is>
      </c>
      <c r="F693" s="9" t="n">
        <v>1501</v>
      </c>
      <c r="G693" t="inlineStr">
        <is>
          <t>Invoice date falls outside the linked contract</t>
        </is>
      </c>
    </row>
    <row r="694">
      <c r="A694" t="inlineStr">
        <is>
          <t>INV00002297</t>
        </is>
      </c>
      <c r="B694" t="inlineStr">
        <is>
          <t>contract_date_conflict</t>
        </is>
      </c>
      <c r="C694" t="inlineStr">
        <is>
          <t>medium</t>
        </is>
      </c>
      <c r="D694" s="14" t="n">
        <v>45689</v>
      </c>
      <c r="E694" t="inlineStr">
        <is>
          <t>C000163</t>
        </is>
      </c>
      <c r="F694" s="9" t="n">
        <v>1580</v>
      </c>
      <c r="G694" t="inlineStr">
        <is>
          <t>Invoice date falls outside the linked contract</t>
        </is>
      </c>
    </row>
    <row r="695">
      <c r="A695" t="inlineStr">
        <is>
          <t>INV00002708</t>
        </is>
      </c>
      <c r="B695" t="inlineStr">
        <is>
          <t>contract_date_conflict</t>
        </is>
      </c>
      <c r="C695" t="inlineStr">
        <is>
          <t>medium</t>
        </is>
      </c>
      <c r="D695" s="14" t="n">
        <v>45689</v>
      </c>
      <c r="E695" t="inlineStr">
        <is>
          <t>C000194</t>
        </is>
      </c>
      <c r="F695" s="9" t="n">
        <v>351</v>
      </c>
      <c r="G695" t="inlineStr">
        <is>
          <t>Invoice date falls outside the linked contract</t>
        </is>
      </c>
    </row>
    <row r="696">
      <c r="A696" t="inlineStr">
        <is>
          <t>INV00003403</t>
        </is>
      </c>
      <c r="B696" t="inlineStr">
        <is>
          <t>contract_date_conflict</t>
        </is>
      </c>
      <c r="C696" t="inlineStr">
        <is>
          <t>medium</t>
        </is>
      </c>
      <c r="D696" s="14" t="n">
        <v>45689</v>
      </c>
      <c r="E696" t="inlineStr">
        <is>
          <t>C000246</t>
        </is>
      </c>
      <c r="F696" s="9" t="n">
        <v>1185</v>
      </c>
      <c r="G696" t="inlineStr">
        <is>
          <t>Invoice date falls outside the linked contract</t>
        </is>
      </c>
    </row>
    <row r="697">
      <c r="A697" t="inlineStr">
        <is>
          <t>INV00004950</t>
        </is>
      </c>
      <c r="B697" t="inlineStr">
        <is>
          <t>contract_date_conflict</t>
        </is>
      </c>
      <c r="C697" t="inlineStr">
        <is>
          <t>medium</t>
        </is>
      </c>
      <c r="D697" s="14" t="n">
        <v>45689</v>
      </c>
      <c r="E697" t="inlineStr">
        <is>
          <t>C000360</t>
        </is>
      </c>
      <c r="F697" s="9" t="n">
        <v>195</v>
      </c>
      <c r="G697" t="inlineStr">
        <is>
          <t>Invoice date falls outside the linked contract</t>
        </is>
      </c>
    </row>
    <row r="698">
      <c r="A698" t="inlineStr">
        <is>
          <t>INV00005106</t>
        </is>
      </c>
      <c r="B698" t="inlineStr">
        <is>
          <t>contract_date_conflict</t>
        </is>
      </c>
      <c r="C698" t="inlineStr">
        <is>
          <t>medium</t>
        </is>
      </c>
      <c r="D698" s="14" t="n">
        <v>45689</v>
      </c>
      <c r="E698" t="inlineStr">
        <is>
          <t>C000367</t>
        </is>
      </c>
      <c r="F698" s="9" t="n">
        <v>195</v>
      </c>
      <c r="G698" t="inlineStr">
        <is>
          <t>Invoice date falls outside the linked contract</t>
        </is>
      </c>
    </row>
    <row r="699">
      <c r="A699" t="inlineStr">
        <is>
          <t>INV00008561</t>
        </is>
      </c>
      <c r="B699" t="inlineStr">
        <is>
          <t>contract_date_conflict</t>
        </is>
      </c>
      <c r="C699" t="inlineStr">
        <is>
          <t>medium</t>
        </is>
      </c>
      <c r="D699" s="14" t="n">
        <v>45689</v>
      </c>
      <c r="E699" t="inlineStr">
        <is>
          <t>C000605</t>
        </is>
      </c>
      <c r="F699" s="9" t="n">
        <v>351</v>
      </c>
      <c r="G699" t="inlineStr">
        <is>
          <t>Invoice date falls outside the linked contract</t>
        </is>
      </c>
    </row>
    <row r="700">
      <c r="A700" t="inlineStr">
        <is>
          <t>INV00008750</t>
        </is>
      </c>
      <c r="B700" t="inlineStr">
        <is>
          <t>contract_date_conflict</t>
        </is>
      </c>
      <c r="C700" t="inlineStr">
        <is>
          <t>medium</t>
        </is>
      </c>
      <c r="D700" s="14" t="n">
        <v>45689</v>
      </c>
      <c r="E700" t="inlineStr">
        <is>
          <t>C000616</t>
        </is>
      </c>
      <c r="F700" s="9" t="n">
        <v>1738</v>
      </c>
      <c r="G700" t="inlineStr">
        <is>
          <t>Invoice date falls outside the linked contract</t>
        </is>
      </c>
    </row>
    <row r="701">
      <c r="A701" t="inlineStr">
        <is>
          <t>INV00010125</t>
        </is>
      </c>
      <c r="B701" t="inlineStr">
        <is>
          <t>contract_date_conflict</t>
        </is>
      </c>
      <c r="C701" t="inlineStr">
        <is>
          <t>medium</t>
        </is>
      </c>
      <c r="D701" s="14" t="n">
        <v>45689</v>
      </c>
      <c r="E701" t="inlineStr">
        <is>
          <t>C000712</t>
        </is>
      </c>
      <c r="F701" s="9" t="n">
        <v>1975</v>
      </c>
      <c r="G701" t="inlineStr">
        <is>
          <t>Invoice date falls outside the linked contract</t>
        </is>
      </c>
    </row>
    <row r="702">
      <c r="A702" t="inlineStr">
        <is>
          <t>INV00010696</t>
        </is>
      </c>
      <c r="B702" t="inlineStr">
        <is>
          <t>contract_date_conflict</t>
        </is>
      </c>
      <c r="C702" t="inlineStr">
        <is>
          <t>medium</t>
        </is>
      </c>
      <c r="D702" s="14" t="n">
        <v>45689</v>
      </c>
      <c r="E702" t="inlineStr">
        <is>
          <t>C000752</t>
        </is>
      </c>
      <c r="F702" s="9" t="n">
        <v>312</v>
      </c>
      <c r="G702" t="inlineStr">
        <is>
          <t>Invoice date falls outside the linked contract</t>
        </is>
      </c>
    </row>
    <row r="703">
      <c r="A703" t="inlineStr">
        <is>
          <t>INV00012169</t>
        </is>
      </c>
      <c r="B703" t="inlineStr">
        <is>
          <t>contract_date_conflict</t>
        </is>
      </c>
      <c r="C703" t="inlineStr">
        <is>
          <t>medium</t>
        </is>
      </c>
      <c r="D703" s="14" t="n">
        <v>45689</v>
      </c>
      <c r="E703" t="inlineStr">
        <is>
          <t>C000854</t>
        </is>
      </c>
      <c r="F703" s="9" t="n">
        <v>1066.5</v>
      </c>
      <c r="G703" t="inlineStr">
        <is>
          <t>Invoice date falls outside the linked contract</t>
        </is>
      </c>
    </row>
    <row r="704">
      <c r="A704" t="inlineStr">
        <is>
          <t>INV00012241</t>
        </is>
      </c>
      <c r="B704" t="inlineStr">
        <is>
          <t>contract_date_conflict</t>
        </is>
      </c>
      <c r="C704" t="inlineStr">
        <is>
          <t>medium</t>
        </is>
      </c>
      <c r="D704" s="14" t="n">
        <v>45689</v>
      </c>
      <c r="E704" t="inlineStr">
        <is>
          <t>C000860</t>
        </is>
      </c>
      <c r="F704" s="9" t="n">
        <v>9118.799999999999</v>
      </c>
      <c r="G704" t="inlineStr">
        <is>
          <t>Invoice date falls outside the linked contract</t>
        </is>
      </c>
    </row>
    <row r="705">
      <c r="A705" t="inlineStr">
        <is>
          <t>INV00013001</t>
        </is>
      </c>
      <c r="B705" t="inlineStr">
        <is>
          <t>contract_date_conflict</t>
        </is>
      </c>
      <c r="C705" t="inlineStr">
        <is>
          <t>medium</t>
        </is>
      </c>
      <c r="D705" s="14" t="n">
        <v>45689</v>
      </c>
      <c r="E705" t="inlineStr">
        <is>
          <t>C000913</t>
        </is>
      </c>
      <c r="F705" s="9" t="n">
        <v>2686</v>
      </c>
      <c r="G705" t="inlineStr">
        <is>
          <t>Invoice date falls outside the linked contract</t>
        </is>
      </c>
    </row>
    <row r="706">
      <c r="A706" t="inlineStr">
        <is>
          <t>INV00013254</t>
        </is>
      </c>
      <c r="B706" t="inlineStr">
        <is>
          <t>contract_date_conflict</t>
        </is>
      </c>
      <c r="C706" t="inlineStr">
        <is>
          <t>medium</t>
        </is>
      </c>
      <c r="D706" s="14" t="n">
        <v>45689</v>
      </c>
      <c r="E706" t="inlineStr">
        <is>
          <t>C000932</t>
        </is>
      </c>
      <c r="F706" s="9" t="n">
        <v>1659</v>
      </c>
      <c r="G706" t="inlineStr">
        <is>
          <t>Invoice date falls outside the linked contract</t>
        </is>
      </c>
    </row>
    <row r="707">
      <c r="A707" t="inlineStr">
        <is>
          <t>INV00014114</t>
        </is>
      </c>
      <c r="B707" t="inlineStr">
        <is>
          <t>contract_date_conflict</t>
        </is>
      </c>
      <c r="C707" t="inlineStr">
        <is>
          <t>medium</t>
        </is>
      </c>
      <c r="D707" s="14" t="n">
        <v>45689</v>
      </c>
      <c r="E707" t="inlineStr">
        <is>
          <t>C000994</t>
        </is>
      </c>
      <c r="F707" s="9" t="n">
        <v>10877</v>
      </c>
      <c r="G707" t="inlineStr">
        <is>
          <t>Invoice date falls outside the linked contract</t>
        </is>
      </c>
    </row>
    <row r="708">
      <c r="A708" t="inlineStr">
        <is>
          <t>INV00014239</t>
        </is>
      </c>
      <c r="B708" t="inlineStr">
        <is>
          <t>contract_date_conflict</t>
        </is>
      </c>
      <c r="C708" t="inlineStr">
        <is>
          <t>medium</t>
        </is>
      </c>
      <c r="D708" s="14" t="n">
        <v>45689</v>
      </c>
      <c r="E708" t="inlineStr">
        <is>
          <t>C001001</t>
        </is>
      </c>
      <c r="F708" s="9" t="n">
        <v>165.75</v>
      </c>
      <c r="G708" t="inlineStr">
        <is>
          <t>Invoice date falls outside the linked contract</t>
        </is>
      </c>
    </row>
    <row r="709">
      <c r="A709" t="inlineStr">
        <is>
          <t>INV00000165</t>
        </is>
      </c>
      <c r="B709" t="inlineStr">
        <is>
          <t>contract_date_conflict</t>
        </is>
      </c>
      <c r="C709" t="inlineStr">
        <is>
          <t>medium</t>
        </is>
      </c>
      <c r="D709" s="14" t="n">
        <v>45717</v>
      </c>
      <c r="E709" t="inlineStr">
        <is>
          <t>C000016</t>
        </is>
      </c>
      <c r="F709" s="9" t="n">
        <v>312</v>
      </c>
      <c r="G709" t="inlineStr">
        <is>
          <t>Invoice date falls outside the linked contract</t>
        </is>
      </c>
    </row>
    <row r="710">
      <c r="A710" t="inlineStr">
        <is>
          <t>INV00000860</t>
        </is>
      </c>
      <c r="B710" t="inlineStr">
        <is>
          <t>contract_date_conflict</t>
        </is>
      </c>
      <c r="C710" t="inlineStr">
        <is>
          <t>medium</t>
        </is>
      </c>
      <c r="D710" s="14" t="n">
        <v>45717</v>
      </c>
      <c r="E710" t="inlineStr">
        <is>
          <t>C000052</t>
        </is>
      </c>
      <c r="F710" s="9" t="n">
        <v>6332.5</v>
      </c>
      <c r="G710" t="inlineStr">
        <is>
          <t>Invoice date falls outside the linked contract</t>
        </is>
      </c>
    </row>
    <row r="711">
      <c r="A711" t="inlineStr">
        <is>
          <t>INV00000929</t>
        </is>
      </c>
      <c r="B711" t="inlineStr">
        <is>
          <t>contract_date_conflict</t>
        </is>
      </c>
      <c r="C711" t="inlineStr">
        <is>
          <t>medium</t>
        </is>
      </c>
      <c r="D711" s="14" t="n">
        <v>45717</v>
      </c>
      <c r="E711" t="inlineStr">
        <is>
          <t>C000060</t>
        </is>
      </c>
      <c r="F711" s="9" t="n">
        <v>210.6</v>
      </c>
      <c r="G711" t="inlineStr">
        <is>
          <t>Invoice date falls outside the linked contract</t>
        </is>
      </c>
    </row>
    <row r="712">
      <c r="A712" t="inlineStr">
        <is>
          <t>INV00001633</t>
        </is>
      </c>
      <c r="B712" t="inlineStr">
        <is>
          <t>contract_date_conflict</t>
        </is>
      </c>
      <c r="C712" t="inlineStr">
        <is>
          <t>medium</t>
        </is>
      </c>
      <c r="D712" s="14" t="n">
        <v>45717</v>
      </c>
      <c r="E712" t="inlineStr">
        <is>
          <t>C000110</t>
        </is>
      </c>
      <c r="F712" s="9" t="n">
        <v>1422</v>
      </c>
      <c r="G712" t="inlineStr">
        <is>
          <t>Invoice date falls outside the linked contract</t>
        </is>
      </c>
    </row>
    <row r="713">
      <c r="A713" t="inlineStr">
        <is>
          <t>INV00001692</t>
        </is>
      </c>
      <c r="B713" t="inlineStr">
        <is>
          <t>contract_date_conflict</t>
        </is>
      </c>
      <c r="C713" t="inlineStr">
        <is>
          <t>medium</t>
        </is>
      </c>
      <c r="D713" s="14" t="n">
        <v>45717</v>
      </c>
      <c r="E713" t="inlineStr">
        <is>
          <t>C000113</t>
        </is>
      </c>
      <c r="F713" s="9" t="n">
        <v>390</v>
      </c>
      <c r="G713" t="inlineStr">
        <is>
          <t>Invoice date falls outside the linked contract</t>
        </is>
      </c>
    </row>
    <row r="714">
      <c r="A714" t="inlineStr">
        <is>
          <t>INV00001894</t>
        </is>
      </c>
      <c r="B714" t="inlineStr">
        <is>
          <t>contract_date_conflict</t>
        </is>
      </c>
      <c r="C714" t="inlineStr">
        <is>
          <t>medium</t>
        </is>
      </c>
      <c r="D714" s="14" t="n">
        <v>45717</v>
      </c>
      <c r="E714" t="inlineStr">
        <is>
          <t>C000130</t>
        </is>
      </c>
      <c r="F714" s="9" t="n">
        <v>185.25</v>
      </c>
      <c r="G714" t="inlineStr">
        <is>
          <t>Invoice date falls outside the linked contract</t>
        </is>
      </c>
    </row>
    <row r="715">
      <c r="A715" t="inlineStr">
        <is>
          <t>INV00003652</t>
        </is>
      </c>
      <c r="B715" t="inlineStr">
        <is>
          <t>contract_date_conflict</t>
        </is>
      </c>
      <c r="C715" t="inlineStr">
        <is>
          <t>medium</t>
        </is>
      </c>
      <c r="D715" s="14" t="n">
        <v>45717</v>
      </c>
      <c r="E715" t="inlineStr">
        <is>
          <t>C000267</t>
        </is>
      </c>
      <c r="F715" s="9" t="n">
        <v>9238</v>
      </c>
      <c r="G715" t="inlineStr">
        <is>
          <t>Invoice date falls outside the linked contract</t>
        </is>
      </c>
    </row>
    <row r="716">
      <c r="A716" t="inlineStr">
        <is>
          <t>INV00003826</t>
        </is>
      </c>
      <c r="B716" t="inlineStr">
        <is>
          <t>contract_date_conflict</t>
        </is>
      </c>
      <c r="C716" t="inlineStr">
        <is>
          <t>medium</t>
        </is>
      </c>
      <c r="D716" s="14" t="n">
        <v>45717</v>
      </c>
      <c r="E716" t="inlineStr">
        <is>
          <t>C000282</t>
        </is>
      </c>
      <c r="F716" s="9" t="n">
        <v>351</v>
      </c>
      <c r="G716" t="inlineStr">
        <is>
          <t>Invoice date falls outside the linked contract</t>
        </is>
      </c>
    </row>
    <row r="717">
      <c r="A717" t="inlineStr">
        <is>
          <t>INV00004004</t>
        </is>
      </c>
      <c r="B717" t="inlineStr">
        <is>
          <t>contract_date_conflict</t>
        </is>
      </c>
      <c r="C717" t="inlineStr">
        <is>
          <t>medium</t>
        </is>
      </c>
      <c r="D717" s="14" t="n">
        <v>45717</v>
      </c>
      <c r="E717" t="inlineStr">
        <is>
          <t>C000298</t>
        </is>
      </c>
      <c r="F717" s="9" t="n">
        <v>8046</v>
      </c>
      <c r="G717" t="inlineStr">
        <is>
          <t>Invoice date falls outside the linked contract</t>
        </is>
      </c>
    </row>
    <row r="718">
      <c r="A718" t="inlineStr">
        <is>
          <t>INV00004306</t>
        </is>
      </c>
      <c r="B718" t="inlineStr">
        <is>
          <t>contract_date_conflict</t>
        </is>
      </c>
      <c r="C718" t="inlineStr">
        <is>
          <t>medium</t>
        </is>
      </c>
      <c r="D718" s="14" t="n">
        <v>45717</v>
      </c>
      <c r="E718" t="inlineStr">
        <is>
          <t>C000321</t>
        </is>
      </c>
      <c r="F718" s="9" t="n">
        <v>7077.5</v>
      </c>
      <c r="G718" t="inlineStr">
        <is>
          <t>Invoice date falls outside the linked contract</t>
        </is>
      </c>
    </row>
    <row r="719">
      <c r="A719" t="inlineStr">
        <is>
          <t>INV00007220</t>
        </is>
      </c>
      <c r="B719" t="inlineStr">
        <is>
          <t>contract_date_conflict</t>
        </is>
      </c>
      <c r="C719" t="inlineStr">
        <is>
          <t>medium</t>
        </is>
      </c>
      <c r="D719" s="14" t="n">
        <v>45717</v>
      </c>
      <c r="E719" t="inlineStr">
        <is>
          <t>C000505</t>
        </is>
      </c>
      <c r="F719" s="9" t="n">
        <v>2417.4</v>
      </c>
      <c r="G719" t="inlineStr">
        <is>
          <t>Invoice date falls outside the linked contract</t>
        </is>
      </c>
    </row>
    <row r="720">
      <c r="A720" t="inlineStr">
        <is>
          <t>INV00007761</t>
        </is>
      </c>
      <c r="B720" t="inlineStr">
        <is>
          <t>contract_date_conflict</t>
        </is>
      </c>
      <c r="C720" t="inlineStr">
        <is>
          <t>medium</t>
        </is>
      </c>
      <c r="D720" s="14" t="n">
        <v>45717</v>
      </c>
      <c r="E720" t="inlineStr">
        <is>
          <t>C000547</t>
        </is>
      </c>
      <c r="F720" s="9" t="n">
        <v>351</v>
      </c>
      <c r="G720" t="inlineStr">
        <is>
          <t>Invoice date falls outside the linked contract</t>
        </is>
      </c>
    </row>
    <row r="721">
      <c r="A721" t="inlineStr">
        <is>
          <t>INV00009304</t>
        </is>
      </c>
      <c r="B721" t="inlineStr">
        <is>
          <t>contract_date_conflict</t>
        </is>
      </c>
      <c r="C721" t="inlineStr">
        <is>
          <t>medium</t>
        </is>
      </c>
      <c r="D721" s="14" t="n">
        <v>45717</v>
      </c>
      <c r="E721" t="inlineStr">
        <is>
          <t>C000654</t>
        </is>
      </c>
      <c r="F721" s="9" t="n">
        <v>210.6</v>
      </c>
      <c r="G721" t="inlineStr">
        <is>
          <t>Invoice date falls outside the linked contract</t>
        </is>
      </c>
    </row>
    <row r="722">
      <c r="A722" t="inlineStr">
        <is>
          <t>INV00009788</t>
        </is>
      </c>
      <c r="B722" t="inlineStr">
        <is>
          <t>contract_date_conflict</t>
        </is>
      </c>
      <c r="C722" t="inlineStr">
        <is>
          <t>medium</t>
        </is>
      </c>
      <c r="D722" s="14" t="n">
        <v>45717</v>
      </c>
      <c r="E722" t="inlineStr">
        <is>
          <t>C000691</t>
        </is>
      </c>
      <c r="F722" s="9" t="n">
        <v>13447.25</v>
      </c>
      <c r="G722" t="inlineStr">
        <is>
          <t>Invoice date falls outside the linked contract</t>
        </is>
      </c>
    </row>
    <row r="723">
      <c r="A723" t="inlineStr">
        <is>
          <t>INV00010542</t>
        </is>
      </c>
      <c r="B723" t="inlineStr">
        <is>
          <t>contract_date_conflict</t>
        </is>
      </c>
      <c r="C723" t="inlineStr">
        <is>
          <t>medium</t>
        </is>
      </c>
      <c r="D723" s="14" t="n">
        <v>45717</v>
      </c>
      <c r="E723" t="inlineStr">
        <is>
          <t>C000738</t>
        </is>
      </c>
      <c r="F723" s="9" t="n">
        <v>6317.6</v>
      </c>
      <c r="G723" t="inlineStr">
        <is>
          <t>Invoice date falls outside the linked contract</t>
        </is>
      </c>
    </row>
    <row r="724">
      <c r="A724" t="inlineStr">
        <is>
          <t>INV00011187</t>
        </is>
      </c>
      <c r="B724" t="inlineStr">
        <is>
          <t>contract_date_conflict</t>
        </is>
      </c>
      <c r="C724" t="inlineStr">
        <is>
          <t>medium</t>
        </is>
      </c>
      <c r="D724" s="14" t="n">
        <v>45717</v>
      </c>
      <c r="E724" t="inlineStr">
        <is>
          <t>C000786</t>
        </is>
      </c>
      <c r="F724" s="9" t="n">
        <v>468</v>
      </c>
      <c r="G724" t="inlineStr">
        <is>
          <t>Invoice date falls outside the linked contract</t>
        </is>
      </c>
    </row>
    <row r="725">
      <c r="A725" t="inlineStr">
        <is>
          <t>INV00011411</t>
        </is>
      </c>
      <c r="B725" t="inlineStr">
        <is>
          <t>contract_date_conflict</t>
        </is>
      </c>
      <c r="C725" t="inlineStr">
        <is>
          <t>medium</t>
        </is>
      </c>
      <c r="D725" s="14" t="n">
        <v>45717</v>
      </c>
      <c r="E725" t="inlineStr">
        <is>
          <t>C000804</t>
        </is>
      </c>
      <c r="F725" s="9" t="n">
        <v>312</v>
      </c>
      <c r="G725" t="inlineStr">
        <is>
          <t>Invoice date falls outside the linked contract</t>
        </is>
      </c>
    </row>
    <row r="726">
      <c r="A726" t="inlineStr">
        <is>
          <t>INV00011760</t>
        </is>
      </c>
      <c r="B726" t="inlineStr">
        <is>
          <t>contract_date_conflict</t>
        </is>
      </c>
      <c r="C726" t="inlineStr">
        <is>
          <t>medium</t>
        </is>
      </c>
      <c r="D726" s="14" t="n">
        <v>45717</v>
      </c>
      <c r="E726" t="inlineStr">
        <is>
          <t>C000826</t>
        </is>
      </c>
      <c r="F726" s="9" t="n">
        <v>185.25</v>
      </c>
      <c r="G726" t="inlineStr">
        <is>
          <t>Invoice date falls outside the linked contract</t>
        </is>
      </c>
    </row>
    <row r="727">
      <c r="A727" t="inlineStr">
        <is>
          <t>INV00012779</t>
        </is>
      </c>
      <c r="B727" t="inlineStr">
        <is>
          <t>contract_date_conflict</t>
        </is>
      </c>
      <c r="C727" t="inlineStr">
        <is>
          <t>medium</t>
        </is>
      </c>
      <c r="D727" s="14" t="n">
        <v>45717</v>
      </c>
      <c r="E727" t="inlineStr">
        <is>
          <t>C000901</t>
        </is>
      </c>
      <c r="F727" s="9" t="n">
        <v>2765</v>
      </c>
      <c r="G727" t="inlineStr">
        <is>
          <t>Invoice date falls outside the linked contract</t>
        </is>
      </c>
    </row>
    <row r="728">
      <c r="A728" t="inlineStr">
        <is>
          <t>INV00013229</t>
        </is>
      </c>
      <c r="B728" t="inlineStr">
        <is>
          <t>contract_date_conflict</t>
        </is>
      </c>
      <c r="C728" t="inlineStr">
        <is>
          <t>medium</t>
        </is>
      </c>
      <c r="D728" s="14" t="n">
        <v>45717</v>
      </c>
      <c r="E728" t="inlineStr">
        <is>
          <t>C000928</t>
        </is>
      </c>
      <c r="F728" s="9" t="n">
        <v>2081.65</v>
      </c>
      <c r="G728" t="inlineStr">
        <is>
          <t>Invoice date falls outside the linked contract</t>
        </is>
      </c>
    </row>
    <row r="729">
      <c r="A729" t="inlineStr">
        <is>
          <t>INV00013605</t>
        </is>
      </c>
      <c r="B729" t="inlineStr">
        <is>
          <t>contract_date_conflict</t>
        </is>
      </c>
      <c r="C729" t="inlineStr">
        <is>
          <t>medium</t>
        </is>
      </c>
      <c r="D729" s="14" t="n">
        <v>45717</v>
      </c>
      <c r="E729" t="inlineStr">
        <is>
          <t>C000960</t>
        </is>
      </c>
      <c r="F729" s="9" t="n">
        <v>2176.45</v>
      </c>
      <c r="G729" t="inlineStr">
        <is>
          <t>Invoice date falls outside the linked contract</t>
        </is>
      </c>
    </row>
    <row r="730">
      <c r="A730" t="inlineStr">
        <is>
          <t>INV00014788</t>
        </is>
      </c>
      <c r="B730" t="inlineStr">
        <is>
          <t>contract_date_conflict</t>
        </is>
      </c>
      <c r="C730" t="inlineStr">
        <is>
          <t>medium</t>
        </is>
      </c>
      <c r="D730" s="14" t="n">
        <v>45717</v>
      </c>
      <c r="E730" t="inlineStr">
        <is>
          <t>C001034</t>
        </is>
      </c>
      <c r="F730" s="9" t="n">
        <v>165.75</v>
      </c>
      <c r="G730" t="inlineStr">
        <is>
          <t>Invoice date falls outside the linked contract</t>
        </is>
      </c>
    </row>
    <row r="731">
      <c r="A731" t="inlineStr">
        <is>
          <t>INV00015742</t>
        </is>
      </c>
      <c r="B731" t="inlineStr">
        <is>
          <t>contract_date_conflict</t>
        </is>
      </c>
      <c r="C731" t="inlineStr">
        <is>
          <t>medium</t>
        </is>
      </c>
      <c r="D731" s="14" t="n">
        <v>45717</v>
      </c>
      <c r="E731" t="inlineStr">
        <is>
          <t>C001094</t>
        </is>
      </c>
      <c r="F731" s="9" t="n">
        <v>351</v>
      </c>
      <c r="G731" t="inlineStr">
        <is>
          <t>Invoice date falls outside the linked contract</t>
        </is>
      </c>
    </row>
    <row r="732">
      <c r="A732" t="inlineStr">
        <is>
          <t>INV00016091</t>
        </is>
      </c>
      <c r="B732" t="inlineStr">
        <is>
          <t>contract_date_conflict</t>
        </is>
      </c>
      <c r="C732" t="inlineStr">
        <is>
          <t>medium</t>
        </is>
      </c>
      <c r="D732" s="14" t="n">
        <v>45717</v>
      </c>
      <c r="E732" t="inlineStr">
        <is>
          <t>C001124</t>
        </is>
      </c>
      <c r="F732" s="9" t="n">
        <v>195</v>
      </c>
      <c r="G732" t="inlineStr">
        <is>
          <t>Invoice date falls outside the linked contract</t>
        </is>
      </c>
    </row>
    <row r="733">
      <c r="A733" t="inlineStr">
        <is>
          <t>INV00001429</t>
        </is>
      </c>
      <c r="B733" t="inlineStr">
        <is>
          <t>contract_date_conflict</t>
        </is>
      </c>
      <c r="C733" t="inlineStr">
        <is>
          <t>medium</t>
        </is>
      </c>
      <c r="D733" s="14" t="n">
        <v>45748</v>
      </c>
      <c r="E733" t="inlineStr">
        <is>
          <t>C000093</t>
        </is>
      </c>
      <c r="F733" s="9" t="n">
        <v>195</v>
      </c>
      <c r="G733" t="inlineStr">
        <is>
          <t>Invoice date falls outside the linked contract</t>
        </is>
      </c>
    </row>
    <row r="734">
      <c r="A734" t="inlineStr">
        <is>
          <t>INV00002188</t>
        </is>
      </c>
      <c r="B734" t="inlineStr">
        <is>
          <t>contract_date_conflict</t>
        </is>
      </c>
      <c r="C734" t="inlineStr">
        <is>
          <t>medium</t>
        </is>
      </c>
      <c r="D734" s="14" t="n">
        <v>45748</v>
      </c>
      <c r="E734" t="inlineStr">
        <is>
          <t>C000154</t>
        </is>
      </c>
      <c r="F734" s="9" t="n">
        <v>195</v>
      </c>
      <c r="G734" t="inlineStr">
        <is>
          <t>Invoice date falls outside the linked contract</t>
        </is>
      </c>
    </row>
    <row r="735">
      <c r="A735" t="inlineStr">
        <is>
          <t>INV00002876</t>
        </is>
      </c>
      <c r="B735" t="inlineStr">
        <is>
          <t>contract_date_conflict</t>
        </is>
      </c>
      <c r="C735" t="inlineStr">
        <is>
          <t>medium</t>
        </is>
      </c>
      <c r="D735" s="14" t="n">
        <v>45748</v>
      </c>
      <c r="E735" t="inlineStr">
        <is>
          <t>C000208</t>
        </is>
      </c>
      <c r="F735" s="9" t="n">
        <v>195</v>
      </c>
      <c r="G735" t="inlineStr">
        <is>
          <t>Invoice date falls outside the linked contract</t>
        </is>
      </c>
    </row>
    <row r="736">
      <c r="A736" t="inlineStr">
        <is>
          <t>INV00003903</t>
        </is>
      </c>
      <c r="B736" t="inlineStr">
        <is>
          <t>contract_date_conflict</t>
        </is>
      </c>
      <c r="C736" t="inlineStr">
        <is>
          <t>medium</t>
        </is>
      </c>
      <c r="D736" s="14" t="n">
        <v>45748</v>
      </c>
      <c r="E736" t="inlineStr">
        <is>
          <t>C000288</t>
        </is>
      </c>
      <c r="F736" s="9" t="n">
        <v>2212</v>
      </c>
      <c r="G736" t="inlineStr">
        <is>
          <t>Invoice date falls outside the linked contract</t>
        </is>
      </c>
    </row>
    <row r="737">
      <c r="A737" t="inlineStr">
        <is>
          <t>INV00004335</t>
        </is>
      </c>
      <c r="B737" t="inlineStr">
        <is>
          <t>contract_date_conflict</t>
        </is>
      </c>
      <c r="C737" t="inlineStr">
        <is>
          <t>medium</t>
        </is>
      </c>
      <c r="D737" s="14" t="n">
        <v>45748</v>
      </c>
      <c r="E737" t="inlineStr">
        <is>
          <t>C000324</t>
        </is>
      </c>
      <c r="F737" s="9" t="n">
        <v>232.05</v>
      </c>
      <c r="G737" t="inlineStr">
        <is>
          <t>Invoice date falls outside the linked contract</t>
        </is>
      </c>
    </row>
    <row r="738">
      <c r="A738" t="inlineStr">
        <is>
          <t>INV00005122</t>
        </is>
      </c>
      <c r="B738" t="inlineStr">
        <is>
          <t>contract_date_conflict</t>
        </is>
      </c>
      <c r="C738" t="inlineStr">
        <is>
          <t>medium</t>
        </is>
      </c>
      <c r="D738" s="14" t="n">
        <v>45748</v>
      </c>
      <c r="E738" t="inlineStr">
        <is>
          <t>C000369</t>
        </is>
      </c>
      <c r="F738" s="9" t="n">
        <v>15645</v>
      </c>
      <c r="G738" t="inlineStr">
        <is>
          <t>Invoice date falls outside the linked contract</t>
        </is>
      </c>
    </row>
    <row r="739">
      <c r="A739" t="inlineStr">
        <is>
          <t>INV00006030</t>
        </is>
      </c>
      <c r="B739" t="inlineStr">
        <is>
          <t>contract_date_conflict</t>
        </is>
      </c>
      <c r="C739" t="inlineStr">
        <is>
          <t>medium</t>
        </is>
      </c>
      <c r="D739" s="14" t="n">
        <v>45748</v>
      </c>
      <c r="E739" t="inlineStr">
        <is>
          <t>C000429</t>
        </is>
      </c>
      <c r="F739" s="9" t="n">
        <v>1659</v>
      </c>
      <c r="G739" t="inlineStr">
        <is>
          <t>Invoice date falls outside the linked contract</t>
        </is>
      </c>
    </row>
    <row r="740">
      <c r="A740" t="inlineStr">
        <is>
          <t>INV00006472</t>
        </is>
      </c>
      <c r="B740" t="inlineStr">
        <is>
          <t>contract_date_conflict</t>
        </is>
      </c>
      <c r="C740" t="inlineStr">
        <is>
          <t>medium</t>
        </is>
      </c>
      <c r="D740" s="14" t="n">
        <v>45748</v>
      </c>
      <c r="E740" t="inlineStr">
        <is>
          <t>C000459</t>
        </is>
      </c>
      <c r="F740" s="9" t="n">
        <v>1659</v>
      </c>
      <c r="G740" t="inlineStr">
        <is>
          <t>Invoice date falls outside the linked contract</t>
        </is>
      </c>
    </row>
    <row r="741">
      <c r="A741" t="inlineStr">
        <is>
          <t>INV00006987</t>
        </is>
      </c>
      <c r="B741" t="inlineStr">
        <is>
          <t>contract_date_conflict</t>
        </is>
      </c>
      <c r="C741" t="inlineStr">
        <is>
          <t>medium</t>
        </is>
      </c>
      <c r="D741" s="14" t="n">
        <v>45748</v>
      </c>
      <c r="E741" t="inlineStr">
        <is>
          <t>C000493</t>
        </is>
      </c>
      <c r="F741" s="9" t="n">
        <v>195</v>
      </c>
      <c r="G741" t="inlineStr">
        <is>
          <t>Invoice date falls outside the linked contract</t>
        </is>
      </c>
    </row>
    <row r="742">
      <c r="A742" t="inlineStr">
        <is>
          <t>INV00007230</t>
        </is>
      </c>
      <c r="B742" t="inlineStr">
        <is>
          <t>contract_date_conflict</t>
        </is>
      </c>
      <c r="C742" t="inlineStr">
        <is>
          <t>medium</t>
        </is>
      </c>
      <c r="D742" s="14" t="n">
        <v>45748</v>
      </c>
      <c r="E742" t="inlineStr">
        <is>
          <t>C000506</t>
        </is>
      </c>
      <c r="F742" s="9" t="n">
        <v>11026</v>
      </c>
      <c r="G742" t="inlineStr">
        <is>
          <t>Invoice date falls outside the linked contract</t>
        </is>
      </c>
    </row>
    <row r="743">
      <c r="A743" t="inlineStr">
        <is>
          <t>INV00008516</t>
        </is>
      </c>
      <c r="B743" t="inlineStr">
        <is>
          <t>contract_date_conflict</t>
        </is>
      </c>
      <c r="C743" t="inlineStr">
        <is>
          <t>medium</t>
        </is>
      </c>
      <c r="D743" s="14" t="n">
        <v>45748</v>
      </c>
      <c r="E743" t="inlineStr">
        <is>
          <t>C000600</t>
        </is>
      </c>
      <c r="F743" s="9" t="n">
        <v>9387</v>
      </c>
      <c r="G743" t="inlineStr">
        <is>
          <t>Invoice date falls outside the linked contract</t>
        </is>
      </c>
    </row>
    <row r="744">
      <c r="A744" t="inlineStr">
        <is>
          <t>INV00009908</t>
        </is>
      </c>
      <c r="B744" t="inlineStr">
        <is>
          <t>contract_date_conflict</t>
        </is>
      </c>
      <c r="C744" t="inlineStr">
        <is>
          <t>medium</t>
        </is>
      </c>
      <c r="D744" s="14" t="n">
        <v>45748</v>
      </c>
      <c r="E744" t="inlineStr">
        <is>
          <t>C000699</t>
        </is>
      </c>
      <c r="F744" s="9" t="n">
        <v>195</v>
      </c>
      <c r="G744" t="inlineStr">
        <is>
          <t>Invoice date falls outside the linked contract</t>
        </is>
      </c>
    </row>
    <row r="745">
      <c r="A745" t="inlineStr">
        <is>
          <t>INV00010364</t>
        </is>
      </c>
      <c r="B745" t="inlineStr">
        <is>
          <t>contract_date_conflict</t>
        </is>
      </c>
      <c r="C745" t="inlineStr">
        <is>
          <t>medium</t>
        </is>
      </c>
      <c r="D745" s="14" t="n">
        <v>45748</v>
      </c>
      <c r="E745" t="inlineStr">
        <is>
          <t>C000728</t>
        </is>
      </c>
      <c r="F745" s="9" t="n">
        <v>198.9</v>
      </c>
      <c r="G745" t="inlineStr">
        <is>
          <t>Invoice date falls outside the linked contract</t>
        </is>
      </c>
    </row>
    <row r="746">
      <c r="A746" t="inlineStr">
        <is>
          <t>INV00010436</t>
        </is>
      </c>
      <c r="B746" t="inlineStr">
        <is>
          <t>contract_date_conflict</t>
        </is>
      </c>
      <c r="C746" t="inlineStr">
        <is>
          <t>medium</t>
        </is>
      </c>
      <c r="D746" s="14" t="n">
        <v>45748</v>
      </c>
      <c r="E746" t="inlineStr">
        <is>
          <t>C000732</t>
        </is>
      </c>
      <c r="F746" s="9" t="n">
        <v>210.6</v>
      </c>
      <c r="G746" t="inlineStr">
        <is>
          <t>Invoice date falls outside the linked contract</t>
        </is>
      </c>
    </row>
    <row r="747">
      <c r="A747" t="inlineStr">
        <is>
          <t>INV00010998</t>
        </is>
      </c>
      <c r="B747" t="inlineStr">
        <is>
          <t>contract_date_conflict</t>
        </is>
      </c>
      <c r="C747" t="inlineStr">
        <is>
          <t>medium</t>
        </is>
      </c>
      <c r="D747" s="14" t="n">
        <v>45748</v>
      </c>
      <c r="E747" t="inlineStr">
        <is>
          <t>C000772</t>
        </is>
      </c>
      <c r="F747" s="9" t="n">
        <v>1185</v>
      </c>
      <c r="G747" t="inlineStr">
        <is>
          <t>Invoice date falls outside the linked contract</t>
        </is>
      </c>
    </row>
    <row r="748">
      <c r="A748" t="inlineStr">
        <is>
          <t>INV00011524</t>
        </is>
      </c>
      <c r="B748" t="inlineStr">
        <is>
          <t>contract_date_conflict</t>
        </is>
      </c>
      <c r="C748" t="inlineStr">
        <is>
          <t>medium</t>
        </is>
      </c>
      <c r="D748" s="14" t="n">
        <v>45748</v>
      </c>
      <c r="E748" t="inlineStr">
        <is>
          <t>C000810</t>
        </is>
      </c>
      <c r="F748" s="9" t="n">
        <v>526.5</v>
      </c>
      <c r="G748" t="inlineStr">
        <is>
          <t>Invoice date falls outside the linked contract</t>
        </is>
      </c>
    </row>
    <row r="749">
      <c r="A749" t="inlineStr">
        <is>
          <t>INV00012044</t>
        </is>
      </c>
      <c r="B749" t="inlineStr">
        <is>
          <t>contract_date_conflict</t>
        </is>
      </c>
      <c r="C749" t="inlineStr">
        <is>
          <t>medium</t>
        </is>
      </c>
      <c r="D749" s="14" t="n">
        <v>45748</v>
      </c>
      <c r="E749" t="inlineStr">
        <is>
          <t>C000845</t>
        </is>
      </c>
      <c r="F749" s="9" t="n">
        <v>1659</v>
      </c>
      <c r="G749" t="inlineStr">
        <is>
          <t>Invoice date falls outside the linked contract</t>
        </is>
      </c>
    </row>
    <row r="750">
      <c r="A750" t="inlineStr">
        <is>
          <t>INV00012692</t>
        </is>
      </c>
      <c r="B750" t="inlineStr">
        <is>
          <t>contract_date_conflict</t>
        </is>
      </c>
      <c r="C750" t="inlineStr">
        <is>
          <t>medium</t>
        </is>
      </c>
      <c r="D750" s="14" t="n">
        <v>45748</v>
      </c>
      <c r="E750" t="inlineStr">
        <is>
          <t>C000893</t>
        </is>
      </c>
      <c r="F750" s="9" t="n">
        <v>165.75</v>
      </c>
      <c r="G750" t="inlineStr">
        <is>
          <t>Invoice date falls outside the linked contract</t>
        </is>
      </c>
    </row>
    <row r="751">
      <c r="A751" t="inlineStr">
        <is>
          <t>INV00013694</t>
        </is>
      </c>
      <c r="B751" t="inlineStr">
        <is>
          <t>contract_date_conflict</t>
        </is>
      </c>
      <c r="C751" t="inlineStr">
        <is>
          <t>medium</t>
        </is>
      </c>
      <c r="D751" s="14" t="n">
        <v>45748</v>
      </c>
      <c r="E751" t="inlineStr">
        <is>
          <t>C000967</t>
        </is>
      </c>
      <c r="F751" s="9" t="n">
        <v>1185</v>
      </c>
      <c r="G751" t="inlineStr">
        <is>
          <t>Invoice date falls outside the linked contract</t>
        </is>
      </c>
    </row>
    <row r="752">
      <c r="A752" t="inlineStr">
        <is>
          <t>INV00013941</t>
        </is>
      </c>
      <c r="B752" t="inlineStr">
        <is>
          <t>contract_date_conflict</t>
        </is>
      </c>
      <c r="C752" t="inlineStr">
        <is>
          <t>medium</t>
        </is>
      </c>
      <c r="D752" s="14" t="n">
        <v>45748</v>
      </c>
      <c r="E752" t="inlineStr">
        <is>
          <t>C000985</t>
        </is>
      </c>
      <c r="F752" s="9" t="n">
        <v>245.7</v>
      </c>
      <c r="G752" t="inlineStr">
        <is>
          <t>Invoice date falls outside the linked contract</t>
        </is>
      </c>
    </row>
    <row r="753">
      <c r="A753" t="inlineStr">
        <is>
          <t>INV00014779</t>
        </is>
      </c>
      <c r="B753" t="inlineStr">
        <is>
          <t>contract_date_conflict</t>
        </is>
      </c>
      <c r="C753" t="inlineStr">
        <is>
          <t>medium</t>
        </is>
      </c>
      <c r="D753" s="14" t="n">
        <v>45748</v>
      </c>
      <c r="E753" t="inlineStr">
        <is>
          <t>C001033</t>
        </is>
      </c>
      <c r="F753" s="9" t="n">
        <v>1066.5</v>
      </c>
      <c r="G753" t="inlineStr">
        <is>
          <t>Invoice date falls outside the linked contract</t>
        </is>
      </c>
    </row>
    <row r="754">
      <c r="A754" t="inlineStr">
        <is>
          <t>INV00015044</t>
        </is>
      </c>
      <c r="B754" t="inlineStr">
        <is>
          <t>contract_date_conflict</t>
        </is>
      </c>
      <c r="C754" t="inlineStr">
        <is>
          <t>medium</t>
        </is>
      </c>
      <c r="D754" s="14" t="n">
        <v>45748</v>
      </c>
      <c r="E754" t="inlineStr">
        <is>
          <t>C001052</t>
        </is>
      </c>
      <c r="F754" s="9" t="n">
        <v>1990.8</v>
      </c>
      <c r="G754" t="inlineStr">
        <is>
          <t>Invoice date falls outside the linked contract</t>
        </is>
      </c>
    </row>
    <row r="755">
      <c r="A755" t="inlineStr">
        <is>
          <t>INV00001957</t>
        </is>
      </c>
      <c r="B755" t="inlineStr">
        <is>
          <t>contract_date_conflict</t>
        </is>
      </c>
      <c r="C755" t="inlineStr">
        <is>
          <t>medium</t>
        </is>
      </c>
      <c r="D755" s="14" t="n">
        <v>45778</v>
      </c>
      <c r="E755" t="inlineStr">
        <is>
          <t>C000136</t>
        </is>
      </c>
      <c r="F755" s="9" t="n">
        <v>585</v>
      </c>
      <c r="G755" t="inlineStr">
        <is>
          <t>Invoice date falls outside the linked contract</t>
        </is>
      </c>
    </row>
    <row r="756">
      <c r="A756" t="inlineStr">
        <is>
          <t>INV00002041</t>
        </is>
      </c>
      <c r="B756" t="inlineStr">
        <is>
          <t>contract_date_conflict</t>
        </is>
      </c>
      <c r="C756" t="inlineStr">
        <is>
          <t>medium</t>
        </is>
      </c>
      <c r="D756" s="14" t="n">
        <v>45778</v>
      </c>
      <c r="E756" t="inlineStr">
        <is>
          <t>C000140</t>
        </is>
      </c>
      <c r="F756" s="9" t="n">
        <v>195</v>
      </c>
      <c r="G756" t="inlineStr">
        <is>
          <t>Invoice date falls outside the linked contract</t>
        </is>
      </c>
    </row>
    <row r="757">
      <c r="A757" t="inlineStr">
        <is>
          <t>INV00002049</t>
        </is>
      </c>
      <c r="B757" t="inlineStr">
        <is>
          <t>contract_date_conflict</t>
        </is>
      </c>
      <c r="C757" t="inlineStr">
        <is>
          <t>medium</t>
        </is>
      </c>
      <c r="D757" s="14" t="n">
        <v>45778</v>
      </c>
      <c r="E757" t="inlineStr">
        <is>
          <t>C000142</t>
        </is>
      </c>
      <c r="F757" s="9" t="n">
        <v>195</v>
      </c>
      <c r="G757" t="inlineStr">
        <is>
          <t>Invoice date falls outside the linked contract</t>
        </is>
      </c>
    </row>
    <row r="758">
      <c r="A758" t="inlineStr">
        <is>
          <t>INV00003190</t>
        </is>
      </c>
      <c r="B758" t="inlineStr">
        <is>
          <t>contract_date_conflict</t>
        </is>
      </c>
      <c r="C758" t="inlineStr">
        <is>
          <t>medium</t>
        </is>
      </c>
      <c r="D758" s="14" t="n">
        <v>45778</v>
      </c>
      <c r="E758" t="inlineStr">
        <is>
          <t>C000232</t>
        </is>
      </c>
      <c r="F758" s="9" t="n">
        <v>351</v>
      </c>
      <c r="G758" t="inlineStr">
        <is>
          <t>Invoice date falls outside the linked contract</t>
        </is>
      </c>
    </row>
    <row r="759">
      <c r="A759" t="inlineStr">
        <is>
          <t>INV00003959</t>
        </is>
      </c>
      <c r="B759" t="inlineStr">
        <is>
          <t>contract_date_conflict</t>
        </is>
      </c>
      <c r="C759" t="inlineStr">
        <is>
          <t>medium</t>
        </is>
      </c>
      <c r="D759" s="14" t="n">
        <v>45778</v>
      </c>
      <c r="E759" t="inlineStr">
        <is>
          <t>C000293</t>
        </is>
      </c>
      <c r="F759" s="9" t="n">
        <v>1738</v>
      </c>
      <c r="G759" t="inlineStr">
        <is>
          <t>Invoice date falls outside the linked contract</t>
        </is>
      </c>
    </row>
    <row r="760">
      <c r="A760" t="inlineStr">
        <is>
          <t>INV00003996</t>
        </is>
      </c>
      <c r="B760" t="inlineStr">
        <is>
          <t>contract_date_conflict</t>
        </is>
      </c>
      <c r="C760" t="inlineStr">
        <is>
          <t>medium</t>
        </is>
      </c>
      <c r="D760" s="14" t="n">
        <v>45778</v>
      </c>
      <c r="E760" t="inlineStr">
        <is>
          <t>C000297</t>
        </is>
      </c>
      <c r="F760" s="9" t="n">
        <v>210.6</v>
      </c>
      <c r="G760" t="inlineStr">
        <is>
          <t>Invoice date falls outside the linked contract</t>
        </is>
      </c>
    </row>
    <row r="761">
      <c r="A761" t="inlineStr">
        <is>
          <t>INV00004567</t>
        </is>
      </c>
      <c r="B761" t="inlineStr">
        <is>
          <t>contract_date_conflict</t>
        </is>
      </c>
      <c r="C761" t="inlineStr">
        <is>
          <t>medium</t>
        </is>
      </c>
      <c r="D761" s="14" t="n">
        <v>45778</v>
      </c>
      <c r="E761" t="inlineStr">
        <is>
          <t>C000340</t>
        </is>
      </c>
      <c r="F761" s="9" t="n">
        <v>175.5</v>
      </c>
      <c r="G761" t="inlineStr">
        <is>
          <t>Invoice date falls outside the linked contract</t>
        </is>
      </c>
    </row>
    <row r="762">
      <c r="A762" t="inlineStr">
        <is>
          <t>INV00004942</t>
        </is>
      </c>
      <c r="B762" t="inlineStr">
        <is>
          <t>contract_date_conflict</t>
        </is>
      </c>
      <c r="C762" t="inlineStr">
        <is>
          <t>medium</t>
        </is>
      </c>
      <c r="D762" s="14" t="n">
        <v>45778</v>
      </c>
      <c r="E762" t="inlineStr">
        <is>
          <t>C000359</t>
        </is>
      </c>
      <c r="F762" s="9" t="n">
        <v>12218</v>
      </c>
      <c r="G762" t="inlineStr">
        <is>
          <t>Invoice date falls outside the linked contract</t>
        </is>
      </c>
    </row>
    <row r="763">
      <c r="A763" t="inlineStr">
        <is>
          <t>INV00005064</t>
        </is>
      </c>
      <c r="B763" t="inlineStr">
        <is>
          <t>contract_date_conflict</t>
        </is>
      </c>
      <c r="C763" t="inlineStr">
        <is>
          <t>medium</t>
        </is>
      </c>
      <c r="D763" s="14" t="n">
        <v>45778</v>
      </c>
      <c r="E763" t="inlineStr">
        <is>
          <t>C000365</t>
        </is>
      </c>
      <c r="F763" s="9" t="n">
        <v>1074.4</v>
      </c>
      <c r="G763" t="inlineStr">
        <is>
          <t>Invoice date falls outside the linked contract</t>
        </is>
      </c>
    </row>
    <row r="764">
      <c r="A764" t="inlineStr">
        <is>
          <t>INV00005245</t>
        </is>
      </c>
      <c r="B764" t="inlineStr">
        <is>
          <t>contract_date_conflict</t>
        </is>
      </c>
      <c r="C764" t="inlineStr">
        <is>
          <t>medium</t>
        </is>
      </c>
      <c r="D764" s="14" t="n">
        <v>45778</v>
      </c>
      <c r="E764" t="inlineStr">
        <is>
          <t>C000379</t>
        </is>
      </c>
      <c r="F764" s="9" t="n">
        <v>1066.5</v>
      </c>
      <c r="G764" t="inlineStr">
        <is>
          <t>Invoice date falls outside the linked contract</t>
        </is>
      </c>
    </row>
    <row r="765">
      <c r="A765" t="inlineStr">
        <is>
          <t>INV00005253</t>
        </is>
      </c>
      <c r="B765" t="inlineStr">
        <is>
          <t>contract_date_conflict</t>
        </is>
      </c>
      <c r="C765" t="inlineStr">
        <is>
          <t>medium</t>
        </is>
      </c>
      <c r="D765" s="14" t="n">
        <v>45778</v>
      </c>
      <c r="E765" t="inlineStr">
        <is>
          <t>C000380</t>
        </is>
      </c>
      <c r="F765" s="9" t="n">
        <v>1275.85</v>
      </c>
      <c r="G765" t="inlineStr">
        <is>
          <t>Invoice date falls outside the linked contract</t>
        </is>
      </c>
    </row>
    <row r="766">
      <c r="A766" t="inlineStr">
        <is>
          <t>INV00005785</t>
        </is>
      </c>
      <c r="B766" t="inlineStr">
        <is>
          <t>contract_date_conflict</t>
        </is>
      </c>
      <c r="C766" t="inlineStr">
        <is>
          <t>medium</t>
        </is>
      </c>
      <c r="D766" s="14" t="n">
        <v>45778</v>
      </c>
      <c r="E766" t="inlineStr">
        <is>
          <t>C000410</t>
        </is>
      </c>
      <c r="F766" s="9" t="n">
        <v>222.3</v>
      </c>
      <c r="G766" t="inlineStr">
        <is>
          <t>Invoice date falls outside the linked contract</t>
        </is>
      </c>
    </row>
    <row r="767">
      <c r="A767" t="inlineStr">
        <is>
          <t>INV00006225</t>
        </is>
      </c>
      <c r="B767" t="inlineStr">
        <is>
          <t>contract_date_conflict</t>
        </is>
      </c>
      <c r="C767" t="inlineStr">
        <is>
          <t>medium</t>
        </is>
      </c>
      <c r="D767" s="14" t="n">
        <v>45778</v>
      </c>
      <c r="E767" t="inlineStr">
        <is>
          <t>C000443</t>
        </is>
      </c>
      <c r="F767" s="9" t="n">
        <v>1185</v>
      </c>
      <c r="G767" t="inlineStr">
        <is>
          <t>Invoice date falls outside the linked contract</t>
        </is>
      </c>
    </row>
    <row r="768">
      <c r="A768" t="inlineStr">
        <is>
          <t>INV00006515</t>
        </is>
      </c>
      <c r="B768" t="inlineStr">
        <is>
          <t>contract_date_conflict</t>
        </is>
      </c>
      <c r="C768" t="inlineStr">
        <is>
          <t>medium</t>
        </is>
      </c>
      <c r="D768" s="14" t="n">
        <v>45778</v>
      </c>
      <c r="E768" t="inlineStr">
        <is>
          <t>C000461</t>
        </is>
      </c>
      <c r="F768" s="9" t="n">
        <v>1706.4</v>
      </c>
      <c r="G768" t="inlineStr">
        <is>
          <t>Invoice date falls outside the linked contract</t>
        </is>
      </c>
    </row>
    <row r="769">
      <c r="A769" t="inlineStr">
        <is>
          <t>INV00006564</t>
        </is>
      </c>
      <c r="B769" t="inlineStr">
        <is>
          <t>contract_date_conflict</t>
        </is>
      </c>
      <c r="C769" t="inlineStr">
        <is>
          <t>medium</t>
        </is>
      </c>
      <c r="D769" s="14" t="n">
        <v>45778</v>
      </c>
      <c r="E769" t="inlineStr">
        <is>
          <t>C000467</t>
        </is>
      </c>
      <c r="F769" s="9" t="n">
        <v>1208.7</v>
      </c>
      <c r="G769" t="inlineStr">
        <is>
          <t>Invoice date falls outside the linked contract</t>
        </is>
      </c>
    </row>
    <row r="770">
      <c r="A770" t="inlineStr">
        <is>
          <t>INV00006944</t>
        </is>
      </c>
      <c r="B770" t="inlineStr">
        <is>
          <t>contract_date_conflict</t>
        </is>
      </c>
      <c r="C770" t="inlineStr">
        <is>
          <t>medium</t>
        </is>
      </c>
      <c r="D770" s="14" t="n">
        <v>45778</v>
      </c>
      <c r="E770" t="inlineStr">
        <is>
          <t>C000490</t>
        </is>
      </c>
      <c r="F770" s="9" t="n">
        <v>312</v>
      </c>
      <c r="G770" t="inlineStr">
        <is>
          <t>Invoice date falls outside the linked contract</t>
        </is>
      </c>
    </row>
    <row r="771">
      <c r="A771" t="inlineStr">
        <is>
          <t>INV00007800</t>
        </is>
      </c>
      <c r="B771" t="inlineStr">
        <is>
          <t>contract_date_conflict</t>
        </is>
      </c>
      <c r="C771" t="inlineStr">
        <is>
          <t>medium</t>
        </is>
      </c>
      <c r="D771" s="14" t="n">
        <v>45778</v>
      </c>
      <c r="E771" t="inlineStr">
        <is>
          <t>C000551</t>
        </is>
      </c>
      <c r="F771" s="9" t="n">
        <v>175.5</v>
      </c>
      <c r="G771" t="inlineStr">
        <is>
          <t>Invoice date falls outside the linked contract</t>
        </is>
      </c>
    </row>
    <row r="772">
      <c r="A772" t="inlineStr">
        <is>
          <t>INV00007905</t>
        </is>
      </c>
      <c r="B772" t="inlineStr">
        <is>
          <t>contract_date_conflict</t>
        </is>
      </c>
      <c r="C772" t="inlineStr">
        <is>
          <t>medium</t>
        </is>
      </c>
      <c r="D772" s="14" t="n">
        <v>45778</v>
      </c>
      <c r="E772" t="inlineStr">
        <is>
          <t>C000561</t>
        </is>
      </c>
      <c r="F772" s="9" t="n">
        <v>1425.95</v>
      </c>
      <c r="G772" t="inlineStr">
        <is>
          <t>Invoice date falls outside the linked contract</t>
        </is>
      </c>
    </row>
    <row r="773">
      <c r="A773" t="inlineStr">
        <is>
          <t>INV00009227</t>
        </is>
      </c>
      <c r="B773" t="inlineStr">
        <is>
          <t>contract_date_conflict</t>
        </is>
      </c>
      <c r="C773" t="inlineStr">
        <is>
          <t>medium</t>
        </is>
      </c>
      <c r="D773" s="14" t="n">
        <v>45778</v>
      </c>
      <c r="E773" t="inlineStr">
        <is>
          <t>C000643</t>
        </is>
      </c>
      <c r="F773" s="9" t="n">
        <v>185.25</v>
      </c>
      <c r="G773" t="inlineStr">
        <is>
          <t>Invoice date falls outside the linked contract</t>
        </is>
      </c>
    </row>
    <row r="774">
      <c r="A774" t="inlineStr">
        <is>
          <t>INV00009386</t>
        </is>
      </c>
      <c r="B774" t="inlineStr">
        <is>
          <t>contract_date_conflict</t>
        </is>
      </c>
      <c r="C774" t="inlineStr">
        <is>
          <t>medium</t>
        </is>
      </c>
      <c r="D774" s="14" t="n">
        <v>45778</v>
      </c>
      <c r="E774" t="inlineStr">
        <is>
          <t>C000661</t>
        </is>
      </c>
      <c r="F774" s="9" t="n">
        <v>8046</v>
      </c>
      <c r="G774" t="inlineStr">
        <is>
          <t>Invoice date falls outside the linked contract</t>
        </is>
      </c>
    </row>
    <row r="775">
      <c r="A775" t="inlineStr">
        <is>
          <t>INV00009900</t>
        </is>
      </c>
      <c r="B775" t="inlineStr">
        <is>
          <t>contract_date_conflict</t>
        </is>
      </c>
      <c r="C775" t="inlineStr">
        <is>
          <t>medium</t>
        </is>
      </c>
      <c r="D775" s="14" t="n">
        <v>45778</v>
      </c>
      <c r="E775" t="inlineStr">
        <is>
          <t>C000698</t>
        </is>
      </c>
      <c r="F775" s="9" t="n">
        <v>273</v>
      </c>
      <c r="G775" t="inlineStr">
        <is>
          <t>Invoice date falls outside the linked contract</t>
        </is>
      </c>
    </row>
    <row r="776">
      <c r="A776" t="inlineStr">
        <is>
          <t>INV00009922</t>
        </is>
      </c>
      <c r="B776" t="inlineStr">
        <is>
          <t>contract_date_conflict</t>
        </is>
      </c>
      <c r="C776" t="inlineStr">
        <is>
          <t>medium</t>
        </is>
      </c>
      <c r="D776" s="14" t="n">
        <v>45778</v>
      </c>
      <c r="E776" t="inlineStr">
        <is>
          <t>C000701</t>
        </is>
      </c>
      <c r="F776" s="9" t="n">
        <v>1422</v>
      </c>
      <c r="G776" t="inlineStr">
        <is>
          <t>Invoice date falls outside the linked contract</t>
        </is>
      </c>
    </row>
    <row r="777">
      <c r="A777" t="inlineStr">
        <is>
          <t>INV00010048</t>
        </is>
      </c>
      <c r="B777" t="inlineStr">
        <is>
          <t>contract_date_conflict</t>
        </is>
      </c>
      <c r="C777" t="inlineStr">
        <is>
          <t>medium</t>
        </is>
      </c>
      <c r="D777" s="14" t="n">
        <v>45778</v>
      </c>
      <c r="E777" t="inlineStr">
        <is>
          <t>C000707</t>
        </is>
      </c>
      <c r="F777" s="9" t="n">
        <v>2607</v>
      </c>
      <c r="G777" t="inlineStr">
        <is>
          <t>Invoice date falls outside the linked contract</t>
        </is>
      </c>
    </row>
    <row r="778">
      <c r="A778" t="inlineStr">
        <is>
          <t>INV00010136</t>
        </is>
      </c>
      <c r="B778" t="inlineStr">
        <is>
          <t>contract_date_conflict</t>
        </is>
      </c>
      <c r="C778" t="inlineStr">
        <is>
          <t>medium</t>
        </is>
      </c>
      <c r="D778" s="14" t="n">
        <v>45778</v>
      </c>
      <c r="E778" t="inlineStr">
        <is>
          <t>C000714</t>
        </is>
      </c>
      <c r="F778" s="9" t="n">
        <v>234</v>
      </c>
      <c r="G778" t="inlineStr">
        <is>
          <t>Invoice date falls outside the linked contract</t>
        </is>
      </c>
    </row>
    <row r="779">
      <c r="A779" t="inlineStr">
        <is>
          <t>INV00010257</t>
        </is>
      </c>
      <c r="B779" t="inlineStr">
        <is>
          <t>contract_date_conflict</t>
        </is>
      </c>
      <c r="C779" t="inlineStr">
        <is>
          <t>medium</t>
        </is>
      </c>
      <c r="D779" s="14" t="n">
        <v>45778</v>
      </c>
      <c r="E779" t="inlineStr">
        <is>
          <t>C000722</t>
        </is>
      </c>
      <c r="F779" s="9" t="n">
        <v>7748</v>
      </c>
      <c r="G779" t="inlineStr">
        <is>
          <t>Invoice date falls outside the linked contract</t>
        </is>
      </c>
    </row>
    <row r="780">
      <c r="A780" t="inlineStr">
        <is>
          <t>INV00010611</t>
        </is>
      </c>
      <c r="B780" t="inlineStr">
        <is>
          <t>contract_date_conflict</t>
        </is>
      </c>
      <c r="C780" t="inlineStr">
        <is>
          <t>medium</t>
        </is>
      </c>
      <c r="D780" s="14" t="n">
        <v>45778</v>
      </c>
      <c r="E780" t="inlineStr">
        <is>
          <t>C000745</t>
        </is>
      </c>
      <c r="F780" s="9" t="n">
        <v>4266</v>
      </c>
      <c r="G780" t="inlineStr">
        <is>
          <t>Invoice date falls outside the linked contract</t>
        </is>
      </c>
    </row>
    <row r="781">
      <c r="A781" t="inlineStr">
        <is>
          <t>INV00011344</t>
        </is>
      </c>
      <c r="B781" t="inlineStr">
        <is>
          <t>contract_date_conflict</t>
        </is>
      </c>
      <c r="C781" t="inlineStr">
        <is>
          <t>medium</t>
        </is>
      </c>
      <c r="D781" s="14" t="n">
        <v>45778</v>
      </c>
      <c r="E781" t="inlineStr">
        <is>
          <t>C000796</t>
        </is>
      </c>
      <c r="F781" s="9" t="n">
        <v>234</v>
      </c>
      <c r="G781" t="inlineStr">
        <is>
          <t>Invoice date falls outside the linked contract</t>
        </is>
      </c>
    </row>
    <row r="782">
      <c r="A782" t="inlineStr">
        <is>
          <t>INV00012196</t>
        </is>
      </c>
      <c r="B782" t="inlineStr">
        <is>
          <t>contract_date_conflict</t>
        </is>
      </c>
      <c r="C782" t="inlineStr">
        <is>
          <t>medium</t>
        </is>
      </c>
      <c r="D782" s="14" t="n">
        <v>45778</v>
      </c>
      <c r="E782" t="inlineStr">
        <is>
          <t>C000857</t>
        </is>
      </c>
      <c r="F782" s="9" t="n">
        <v>198.9</v>
      </c>
      <c r="G782" t="inlineStr">
        <is>
          <t>Invoice date falls outside the linked contract</t>
        </is>
      </c>
    </row>
    <row r="783">
      <c r="A783" t="inlineStr">
        <is>
          <t>INV00012270</t>
        </is>
      </c>
      <c r="B783" t="inlineStr">
        <is>
          <t>contract_date_conflict</t>
        </is>
      </c>
      <c r="C783" t="inlineStr">
        <is>
          <t>medium</t>
        </is>
      </c>
      <c r="D783" s="14" t="n">
        <v>45778</v>
      </c>
      <c r="E783" t="inlineStr">
        <is>
          <t>C000863</t>
        </is>
      </c>
      <c r="F783" s="9" t="n">
        <v>1185</v>
      </c>
      <c r="G783" t="inlineStr">
        <is>
          <t>Invoice date falls outside the linked contract</t>
        </is>
      </c>
    </row>
    <row r="784">
      <c r="A784" t="inlineStr">
        <is>
          <t>INV00012660</t>
        </is>
      </c>
      <c r="B784" t="inlineStr">
        <is>
          <t>contract_date_conflict</t>
        </is>
      </c>
      <c r="C784" t="inlineStr">
        <is>
          <t>medium</t>
        </is>
      </c>
      <c r="D784" s="14" t="n">
        <v>45778</v>
      </c>
      <c r="E784" t="inlineStr">
        <is>
          <t>C000891</t>
        </is>
      </c>
      <c r="F784" s="9" t="n">
        <v>2346.3</v>
      </c>
      <c r="G784" t="inlineStr">
        <is>
          <t>Invoice date falls outside the linked contract</t>
        </is>
      </c>
    </row>
    <row r="785">
      <c r="A785" t="inlineStr">
        <is>
          <t>INV00012789</t>
        </is>
      </c>
      <c r="B785" t="inlineStr">
        <is>
          <t>contract_date_conflict</t>
        </is>
      </c>
      <c r="C785" t="inlineStr">
        <is>
          <t>medium</t>
        </is>
      </c>
      <c r="D785" s="14" t="n">
        <v>45778</v>
      </c>
      <c r="E785" t="inlineStr">
        <is>
          <t>C000902</t>
        </is>
      </c>
      <c r="F785" s="9" t="n">
        <v>2291</v>
      </c>
      <c r="G785" t="inlineStr">
        <is>
          <t>Invoice date falls outside the linked contract</t>
        </is>
      </c>
    </row>
    <row r="786">
      <c r="A786" t="inlineStr">
        <is>
          <t>INV00012897</t>
        </is>
      </c>
      <c r="B786" t="inlineStr">
        <is>
          <t>contract_date_conflict</t>
        </is>
      </c>
      <c r="C786" t="inlineStr">
        <is>
          <t>medium</t>
        </is>
      </c>
      <c r="D786" s="14" t="n">
        <v>45778</v>
      </c>
      <c r="E786" t="inlineStr">
        <is>
          <t>C000907</t>
        </is>
      </c>
      <c r="F786" s="9" t="n">
        <v>1813.05</v>
      </c>
      <c r="G786" t="inlineStr">
        <is>
          <t>Invoice date falls outside the linked contract</t>
        </is>
      </c>
    </row>
    <row r="787">
      <c r="A787" t="inlineStr">
        <is>
          <t>INV00013321</t>
        </is>
      </c>
      <c r="B787" t="inlineStr">
        <is>
          <t>contract_date_conflict</t>
        </is>
      </c>
      <c r="C787" t="inlineStr">
        <is>
          <t>medium</t>
        </is>
      </c>
      <c r="D787" s="14" t="n">
        <v>45778</v>
      </c>
      <c r="E787" t="inlineStr">
        <is>
          <t>C000936</t>
        </is>
      </c>
      <c r="F787" s="9" t="n">
        <v>273</v>
      </c>
      <c r="G787" t="inlineStr">
        <is>
          <t>Invoice date falls outside the linked contract</t>
        </is>
      </c>
    </row>
    <row r="788">
      <c r="A788" t="inlineStr">
        <is>
          <t>INV00013329</t>
        </is>
      </c>
      <c r="B788" t="inlineStr">
        <is>
          <t>contract_date_conflict</t>
        </is>
      </c>
      <c r="C788" t="inlineStr">
        <is>
          <t>medium</t>
        </is>
      </c>
      <c r="D788" s="14" t="n">
        <v>45778</v>
      </c>
      <c r="E788" t="inlineStr">
        <is>
          <t>C000937</t>
        </is>
      </c>
      <c r="F788" s="9" t="n">
        <v>1185</v>
      </c>
      <c r="G788" t="inlineStr">
        <is>
          <t>Invoice date falls outside the linked contract</t>
        </is>
      </c>
    </row>
    <row r="789">
      <c r="A789" t="inlineStr">
        <is>
          <t>INV00013597</t>
        </is>
      </c>
      <c r="B789" t="inlineStr">
        <is>
          <t>contract_date_conflict</t>
        </is>
      </c>
      <c r="C789" t="inlineStr">
        <is>
          <t>medium</t>
        </is>
      </c>
      <c r="D789" s="14" t="n">
        <v>45778</v>
      </c>
      <c r="E789" t="inlineStr">
        <is>
          <t>C000959</t>
        </is>
      </c>
      <c r="F789" s="9" t="n">
        <v>245.7</v>
      </c>
      <c r="G789" t="inlineStr">
        <is>
          <t>Invoice date falls outside the linked contract</t>
        </is>
      </c>
    </row>
    <row r="790">
      <c r="A790" t="inlineStr">
        <is>
          <t>INV00013873</t>
        </is>
      </c>
      <c r="B790" t="inlineStr">
        <is>
          <t>contract_date_conflict</t>
        </is>
      </c>
      <c r="C790" t="inlineStr">
        <is>
          <t>medium</t>
        </is>
      </c>
      <c r="D790" s="14" t="n">
        <v>45778</v>
      </c>
      <c r="E790" t="inlineStr">
        <is>
          <t>C000981</t>
        </is>
      </c>
      <c r="F790" s="9" t="n">
        <v>2528</v>
      </c>
      <c r="G790" t="inlineStr">
        <is>
          <t>Invoice date falls outside the linked contract</t>
        </is>
      </c>
    </row>
    <row r="791">
      <c r="A791" t="inlineStr">
        <is>
          <t>INV00014619</t>
        </is>
      </c>
      <c r="B791" t="inlineStr">
        <is>
          <t>contract_date_conflict</t>
        </is>
      </c>
      <c r="C791" t="inlineStr">
        <is>
          <t>medium</t>
        </is>
      </c>
      <c r="D791" s="14" t="n">
        <v>45778</v>
      </c>
      <c r="E791" t="inlineStr">
        <is>
          <t>C001022</t>
        </is>
      </c>
      <c r="F791" s="9" t="n">
        <v>13112</v>
      </c>
      <c r="G791" t="inlineStr">
        <is>
          <t>Invoice date falls outside the linked contract</t>
        </is>
      </c>
    </row>
    <row r="792">
      <c r="A792" t="inlineStr">
        <is>
          <t>INV00015185</t>
        </is>
      </c>
      <c r="B792" t="inlineStr">
        <is>
          <t>contract_date_conflict</t>
        </is>
      </c>
      <c r="C792" t="inlineStr">
        <is>
          <t>medium</t>
        </is>
      </c>
      <c r="D792" s="14" t="n">
        <v>45778</v>
      </c>
      <c r="E792" t="inlineStr">
        <is>
          <t>C001062</t>
        </is>
      </c>
      <c r="F792" s="9" t="n">
        <v>10616.25</v>
      </c>
      <c r="G792" t="inlineStr">
        <is>
          <t>Invoice date falls outside the linked contract</t>
        </is>
      </c>
    </row>
    <row r="793">
      <c r="A793" t="inlineStr">
        <is>
          <t>INV00015707</t>
        </is>
      </c>
      <c r="B793" t="inlineStr">
        <is>
          <t>contract_date_conflict</t>
        </is>
      </c>
      <c r="C793" t="inlineStr">
        <is>
          <t>medium</t>
        </is>
      </c>
      <c r="D793" s="14" t="n">
        <v>45778</v>
      </c>
      <c r="E793" t="inlineStr">
        <is>
          <t>C001089</t>
        </is>
      </c>
      <c r="F793" s="9" t="n">
        <v>2844</v>
      </c>
      <c r="G793" t="inlineStr">
        <is>
          <t>Invoice date falls outside the linked contract</t>
        </is>
      </c>
    </row>
    <row r="794">
      <c r="A794" t="inlineStr">
        <is>
          <t>INV00016278</t>
        </is>
      </c>
      <c r="B794" t="inlineStr">
        <is>
          <t>contract_date_conflict</t>
        </is>
      </c>
      <c r="C794" t="inlineStr">
        <is>
          <t>medium</t>
        </is>
      </c>
      <c r="D794" s="14" t="n">
        <v>45778</v>
      </c>
      <c r="E794" t="inlineStr">
        <is>
          <t>C001134</t>
        </is>
      </c>
      <c r="F794" s="9" t="n">
        <v>195</v>
      </c>
      <c r="G794" t="inlineStr">
        <is>
          <t>Invoice date falls outside the linked contract</t>
        </is>
      </c>
    </row>
    <row r="795">
      <c r="A795" t="inlineStr">
        <is>
          <t>INV00016522</t>
        </is>
      </c>
      <c r="B795" t="inlineStr">
        <is>
          <t>contract_date_conflict</t>
        </is>
      </c>
      <c r="C795" t="inlineStr">
        <is>
          <t>medium</t>
        </is>
      </c>
      <c r="D795" s="14" t="n">
        <v>45778</v>
      </c>
      <c r="E795" t="inlineStr">
        <is>
          <t>C001151</t>
        </is>
      </c>
      <c r="F795" s="9" t="n">
        <v>1200.8</v>
      </c>
      <c r="G795" t="inlineStr">
        <is>
          <t>Invoice date falls outside the linked contract</t>
        </is>
      </c>
    </row>
    <row r="796">
      <c r="A796" t="inlineStr">
        <is>
          <t>INV00017160</t>
        </is>
      </c>
      <c r="B796" t="inlineStr">
        <is>
          <t>contract_date_conflict</t>
        </is>
      </c>
      <c r="C796" t="inlineStr">
        <is>
          <t>medium</t>
        </is>
      </c>
      <c r="D796" s="14" t="n">
        <v>45778</v>
      </c>
      <c r="E796" t="inlineStr">
        <is>
          <t>C001190</t>
        </is>
      </c>
      <c r="F796" s="9" t="n">
        <v>234</v>
      </c>
      <c r="G796" t="inlineStr">
        <is>
          <t>Invoice date falls outside the linked contract</t>
        </is>
      </c>
    </row>
    <row r="797">
      <c r="A797" t="inlineStr">
        <is>
          <t>INV00000418</t>
        </is>
      </c>
      <c r="B797" t="inlineStr">
        <is>
          <t>contract_date_conflict</t>
        </is>
      </c>
      <c r="C797" t="inlineStr">
        <is>
          <t>medium</t>
        </is>
      </c>
      <c r="D797" s="14" t="n">
        <v>45809</v>
      </c>
      <c r="E797" t="inlineStr">
        <is>
          <t>C000030</t>
        </is>
      </c>
      <c r="F797" s="9" t="n">
        <v>234</v>
      </c>
      <c r="G797" t="inlineStr">
        <is>
          <t>Invoice date falls outside the linked contract</t>
        </is>
      </c>
    </row>
    <row r="798">
      <c r="A798" t="inlineStr">
        <is>
          <t>INV00000562</t>
        </is>
      </c>
      <c r="B798" t="inlineStr">
        <is>
          <t>contract_date_conflict</t>
        </is>
      </c>
      <c r="C798" t="inlineStr">
        <is>
          <t>medium</t>
        </is>
      </c>
      <c r="D798" s="14" t="n">
        <v>45809</v>
      </c>
      <c r="E798" t="inlineStr">
        <is>
          <t>C000038</t>
        </is>
      </c>
      <c r="F798" s="9" t="n">
        <v>7450</v>
      </c>
      <c r="G798" t="inlineStr">
        <is>
          <t>Invoice date falls outside the linked contract</t>
        </is>
      </c>
    </row>
    <row r="799">
      <c r="A799" t="inlineStr">
        <is>
          <t>INV00001230</t>
        </is>
      </c>
      <c r="B799" t="inlineStr">
        <is>
          <t>contract_date_conflict</t>
        </is>
      </c>
      <c r="C799" t="inlineStr">
        <is>
          <t>medium</t>
        </is>
      </c>
      <c r="D799" s="14" t="n">
        <v>45809</v>
      </c>
      <c r="E799" t="inlineStr">
        <is>
          <t>C000080</t>
        </is>
      </c>
      <c r="F799" s="9" t="n">
        <v>7450</v>
      </c>
      <c r="G799" t="inlineStr">
        <is>
          <t>Invoice date falls outside the linked contract</t>
        </is>
      </c>
    </row>
    <row r="800">
      <c r="A800" t="inlineStr">
        <is>
          <t>INV00002181</t>
        </is>
      </c>
      <c r="B800" t="inlineStr">
        <is>
          <t>contract_date_conflict</t>
        </is>
      </c>
      <c r="C800" t="inlineStr">
        <is>
          <t>medium</t>
        </is>
      </c>
      <c r="D800" s="14" t="n">
        <v>45809</v>
      </c>
      <c r="E800" t="inlineStr">
        <is>
          <t>C000153</t>
        </is>
      </c>
      <c r="F800" s="9" t="n">
        <v>3081</v>
      </c>
      <c r="G800" t="inlineStr">
        <is>
          <t>Invoice date falls outside the linked contract</t>
        </is>
      </c>
    </row>
    <row r="801">
      <c r="A801" t="inlineStr">
        <is>
          <t>INV00002719</t>
        </is>
      </c>
      <c r="B801" t="inlineStr">
        <is>
          <t>contract_date_conflict</t>
        </is>
      </c>
      <c r="C801" t="inlineStr">
        <is>
          <t>medium</t>
        </is>
      </c>
      <c r="D801" s="14" t="n">
        <v>45809</v>
      </c>
      <c r="E801" t="inlineStr">
        <is>
          <t>C000195</t>
        </is>
      </c>
      <c r="F801" s="9" t="n">
        <v>1975</v>
      </c>
      <c r="G801" t="inlineStr">
        <is>
          <t>Invoice date falls outside the linked contract</t>
        </is>
      </c>
    </row>
    <row r="802">
      <c r="A802" t="inlineStr">
        <is>
          <t>INV00002869</t>
        </is>
      </c>
      <c r="B802" t="inlineStr">
        <is>
          <t>contract_date_conflict</t>
        </is>
      </c>
      <c r="C802" t="inlineStr">
        <is>
          <t>medium</t>
        </is>
      </c>
      <c r="D802" s="14" t="n">
        <v>45809</v>
      </c>
      <c r="E802" t="inlineStr">
        <is>
          <t>C000207</t>
        </is>
      </c>
      <c r="F802" s="9" t="n">
        <v>195</v>
      </c>
      <c r="G802" t="inlineStr">
        <is>
          <t>Invoice date falls outside the linked contract</t>
        </is>
      </c>
    </row>
    <row r="803">
      <c r="A803" t="inlineStr">
        <is>
          <t>INV00003296</t>
        </is>
      </c>
      <c r="B803" t="inlineStr">
        <is>
          <t>contract_date_conflict</t>
        </is>
      </c>
      <c r="C803" t="inlineStr">
        <is>
          <t>medium</t>
        </is>
      </c>
      <c r="D803" s="14" t="n">
        <v>45809</v>
      </c>
      <c r="E803" t="inlineStr">
        <is>
          <t>C000240</t>
        </is>
      </c>
      <c r="F803" s="9" t="n">
        <v>17433</v>
      </c>
      <c r="G803" t="inlineStr">
        <is>
          <t>Invoice date falls outside the linked contract</t>
        </is>
      </c>
    </row>
    <row r="804">
      <c r="A804" t="inlineStr">
        <is>
          <t>INV00005793</t>
        </is>
      </c>
      <c r="B804" t="inlineStr">
        <is>
          <t>contract_date_conflict</t>
        </is>
      </c>
      <c r="C804" t="inlineStr">
        <is>
          <t>medium</t>
        </is>
      </c>
      <c r="D804" s="14" t="n">
        <v>45809</v>
      </c>
      <c r="E804" t="inlineStr">
        <is>
          <t>C000411</t>
        </is>
      </c>
      <c r="F804" s="9" t="n">
        <v>218.4</v>
      </c>
      <c r="G804" t="inlineStr">
        <is>
          <t>Invoice date falls outside the linked contract</t>
        </is>
      </c>
    </row>
    <row r="805">
      <c r="A805" t="inlineStr">
        <is>
          <t>INV00006233</t>
        </is>
      </c>
      <c r="B805" t="inlineStr">
        <is>
          <t>contract_date_conflict</t>
        </is>
      </c>
      <c r="C805" t="inlineStr">
        <is>
          <t>medium</t>
        </is>
      </c>
      <c r="D805" s="14" t="n">
        <v>45809</v>
      </c>
      <c r="E805" t="inlineStr">
        <is>
          <t>C000445</t>
        </is>
      </c>
      <c r="F805" s="9" t="n">
        <v>234</v>
      </c>
      <c r="G805" t="inlineStr">
        <is>
          <t>Invoice date falls outside the linked contract</t>
        </is>
      </c>
    </row>
    <row r="806">
      <c r="A806" t="inlineStr">
        <is>
          <t>INV00006391</t>
        </is>
      </c>
      <c r="B806" t="inlineStr">
        <is>
          <t>contract_date_conflict</t>
        </is>
      </c>
      <c r="C806" t="inlineStr">
        <is>
          <t>medium</t>
        </is>
      </c>
      <c r="D806" s="14" t="n">
        <v>45809</v>
      </c>
      <c r="E806" t="inlineStr">
        <is>
          <t>C000455</t>
        </is>
      </c>
      <c r="F806" s="9" t="n">
        <v>11920</v>
      </c>
      <c r="G806" t="inlineStr">
        <is>
          <t>Invoice date falls outside the linked contract</t>
        </is>
      </c>
    </row>
    <row r="807">
      <c r="A807" t="inlineStr">
        <is>
          <t>INV00007018</t>
        </is>
      </c>
      <c r="B807" t="inlineStr">
        <is>
          <t>contract_date_conflict</t>
        </is>
      </c>
      <c r="C807" t="inlineStr">
        <is>
          <t>medium</t>
        </is>
      </c>
      <c r="D807" s="14" t="n">
        <v>45809</v>
      </c>
      <c r="E807" t="inlineStr">
        <is>
          <t>C000495</t>
        </is>
      </c>
      <c r="F807" s="9" t="n">
        <v>2551.7</v>
      </c>
      <c r="G807" t="inlineStr">
        <is>
          <t>Invoice date falls outside the linked contract</t>
        </is>
      </c>
    </row>
    <row r="808">
      <c r="A808" t="inlineStr">
        <is>
          <t>INV00007677</t>
        </is>
      </c>
      <c r="B808" t="inlineStr">
        <is>
          <t>contract_date_conflict</t>
        </is>
      </c>
      <c r="C808" t="inlineStr">
        <is>
          <t>medium</t>
        </is>
      </c>
      <c r="D808" s="14" t="n">
        <v>45809</v>
      </c>
      <c r="E808" t="inlineStr">
        <is>
          <t>C000538</t>
        </is>
      </c>
      <c r="F808" s="9" t="n">
        <v>1350.9</v>
      </c>
      <c r="G808" t="inlineStr">
        <is>
          <t>Invoice date falls outside the linked contract</t>
        </is>
      </c>
    </row>
    <row r="809">
      <c r="A809" t="inlineStr">
        <is>
          <t>INV00007977</t>
        </is>
      </c>
      <c r="B809" t="inlineStr">
        <is>
          <t>contract_date_conflict</t>
        </is>
      </c>
      <c r="C809" t="inlineStr">
        <is>
          <t>medium</t>
        </is>
      </c>
      <c r="D809" s="14" t="n">
        <v>45809</v>
      </c>
      <c r="E809" t="inlineStr">
        <is>
          <t>C000566</t>
        </is>
      </c>
      <c r="F809" s="9" t="n">
        <v>273</v>
      </c>
      <c r="G809" t="inlineStr">
        <is>
          <t>Invoice date falls outside the linked contract</t>
        </is>
      </c>
    </row>
    <row r="810">
      <c r="A810" t="inlineStr">
        <is>
          <t>INV00007984</t>
        </is>
      </c>
      <c r="B810" t="inlineStr">
        <is>
          <t>contract_date_conflict</t>
        </is>
      </c>
      <c r="C810" t="inlineStr">
        <is>
          <t>medium</t>
        </is>
      </c>
      <c r="D810" s="14" t="n">
        <v>45809</v>
      </c>
      <c r="E810" t="inlineStr">
        <is>
          <t>C000567</t>
        </is>
      </c>
      <c r="F810" s="9" t="n">
        <v>1066.5</v>
      </c>
      <c r="G810" t="inlineStr">
        <is>
          <t>Invoice date falls outside the linked contract</t>
        </is>
      </c>
    </row>
    <row r="811">
      <c r="A811" t="inlineStr">
        <is>
          <t>INV00008383</t>
        </is>
      </c>
      <c r="B811" t="inlineStr">
        <is>
          <t>contract_date_conflict</t>
        </is>
      </c>
      <c r="C811" t="inlineStr">
        <is>
          <t>medium</t>
        </is>
      </c>
      <c r="D811" s="14" t="n">
        <v>45809</v>
      </c>
      <c r="E811" t="inlineStr">
        <is>
          <t>C000593</t>
        </is>
      </c>
      <c r="F811" s="9" t="n">
        <v>185.25</v>
      </c>
      <c r="G811" t="inlineStr">
        <is>
          <t>Invoice date falls outside the linked contract</t>
        </is>
      </c>
    </row>
    <row r="812">
      <c r="A812" t="inlineStr">
        <is>
          <t>INV00008465</t>
        </is>
      </c>
      <c r="B812" t="inlineStr">
        <is>
          <t>contract_date_conflict</t>
        </is>
      </c>
      <c r="C812" t="inlineStr">
        <is>
          <t>medium</t>
        </is>
      </c>
      <c r="D812" s="14" t="n">
        <v>45809</v>
      </c>
      <c r="E812" t="inlineStr">
        <is>
          <t>C000597</t>
        </is>
      </c>
      <c r="F812" s="9" t="n">
        <v>1007.25</v>
      </c>
      <c r="G812" t="inlineStr">
        <is>
          <t>Invoice date falls outside the linked contract</t>
        </is>
      </c>
    </row>
    <row r="813">
      <c r="A813" t="inlineStr">
        <is>
          <t>INV00009184</t>
        </is>
      </c>
      <c r="B813" t="inlineStr">
        <is>
          <t>contract_date_conflict</t>
        </is>
      </c>
      <c r="C813" t="inlineStr">
        <is>
          <t>medium</t>
        </is>
      </c>
      <c r="D813" s="14" t="n">
        <v>45809</v>
      </c>
      <c r="E813" t="inlineStr">
        <is>
          <t>C000641</t>
        </is>
      </c>
      <c r="F813" s="9" t="n">
        <v>312</v>
      </c>
      <c r="G813" t="inlineStr">
        <is>
          <t>Invoice date falls outside the linked contract</t>
        </is>
      </c>
    </row>
    <row r="814">
      <c r="A814" t="inlineStr">
        <is>
          <t>INV00009314</t>
        </is>
      </c>
      <c r="B814" t="inlineStr">
        <is>
          <t>contract_date_conflict</t>
        </is>
      </c>
      <c r="C814" t="inlineStr">
        <is>
          <t>medium</t>
        </is>
      </c>
      <c r="D814" s="14" t="n">
        <v>45809</v>
      </c>
      <c r="E814" t="inlineStr">
        <is>
          <t>C000655</t>
        </is>
      </c>
      <c r="F814" s="9" t="n">
        <v>296.4</v>
      </c>
      <c r="G814" t="inlineStr">
        <is>
          <t>Invoice date falls outside the linked contract</t>
        </is>
      </c>
    </row>
    <row r="815">
      <c r="A815" t="inlineStr">
        <is>
          <t>INV00010859</t>
        </is>
      </c>
      <c r="B815" t="inlineStr">
        <is>
          <t>contract_date_conflict</t>
        </is>
      </c>
      <c r="C815" t="inlineStr">
        <is>
          <t>medium</t>
        </is>
      </c>
      <c r="D815" s="14" t="n">
        <v>45809</v>
      </c>
      <c r="E815" t="inlineStr">
        <is>
          <t>C000761</t>
        </is>
      </c>
      <c r="F815" s="9" t="n">
        <v>1501</v>
      </c>
      <c r="G815" t="inlineStr">
        <is>
          <t>Invoice date falls outside the linked contract</t>
        </is>
      </c>
    </row>
    <row r="816">
      <c r="A816" t="inlineStr">
        <is>
          <t>INV00010925</t>
        </is>
      </c>
      <c r="B816" t="inlineStr">
        <is>
          <t>contract_date_conflict</t>
        </is>
      </c>
      <c r="C816" t="inlineStr">
        <is>
          <t>medium</t>
        </is>
      </c>
      <c r="D816" s="14" t="n">
        <v>45809</v>
      </c>
      <c r="E816" t="inlineStr">
        <is>
          <t>C000767</t>
        </is>
      </c>
      <c r="F816" s="9" t="n">
        <v>245.7</v>
      </c>
      <c r="G816" t="inlineStr">
        <is>
          <t>Invoice date falls outside the linked contract</t>
        </is>
      </c>
    </row>
    <row r="817">
      <c r="A817" t="inlineStr">
        <is>
          <t>INV00013197</t>
        </is>
      </c>
      <c r="B817" t="inlineStr">
        <is>
          <t>contract_date_conflict</t>
        </is>
      </c>
      <c r="C817" t="inlineStr">
        <is>
          <t>medium</t>
        </is>
      </c>
      <c r="D817" s="14" t="n">
        <v>45809</v>
      </c>
      <c r="E817" t="inlineStr">
        <is>
          <t>C000926</t>
        </is>
      </c>
      <c r="F817" s="9" t="n">
        <v>280.8</v>
      </c>
      <c r="G817" t="inlineStr">
        <is>
          <t>Invoice date falls outside the linked contract</t>
        </is>
      </c>
    </row>
    <row r="818">
      <c r="A818" t="inlineStr">
        <is>
          <t>INV00013437</t>
        </is>
      </c>
      <c r="B818" t="inlineStr">
        <is>
          <t>contract_date_conflict</t>
        </is>
      </c>
      <c r="C818" t="inlineStr">
        <is>
          <t>medium</t>
        </is>
      </c>
      <c r="D818" s="14" t="n">
        <v>45809</v>
      </c>
      <c r="E818" t="inlineStr">
        <is>
          <t>C000949</t>
        </is>
      </c>
      <c r="F818" s="9" t="n">
        <v>2528</v>
      </c>
      <c r="G818" t="inlineStr">
        <is>
          <t>Invoice date falls outside the linked contract</t>
        </is>
      </c>
    </row>
    <row r="819">
      <c r="A819" t="inlineStr">
        <is>
          <t>INV00013687</t>
        </is>
      </c>
      <c r="B819" t="inlineStr">
        <is>
          <t>contract_date_conflict</t>
        </is>
      </c>
      <c r="C819" t="inlineStr">
        <is>
          <t>medium</t>
        </is>
      </c>
      <c r="D819" s="14" t="n">
        <v>45809</v>
      </c>
      <c r="E819" t="inlineStr">
        <is>
          <t>C000966</t>
        </is>
      </c>
      <c r="F819" s="9" t="n">
        <v>234</v>
      </c>
      <c r="G819" t="inlineStr">
        <is>
          <t>Invoice date falls outside the linked contract</t>
        </is>
      </c>
    </row>
    <row r="820">
      <c r="A820" t="inlineStr">
        <is>
          <t>INV00014009</t>
        </is>
      </c>
      <c r="B820" t="inlineStr">
        <is>
          <t>contract_date_conflict</t>
        </is>
      </c>
      <c r="C820" t="inlineStr">
        <is>
          <t>medium</t>
        </is>
      </c>
      <c r="D820" s="14" t="n">
        <v>45809</v>
      </c>
      <c r="E820" t="inlineStr">
        <is>
          <t>C000988</t>
        </is>
      </c>
      <c r="F820" s="9" t="n">
        <v>1580</v>
      </c>
      <c r="G820" t="inlineStr">
        <is>
          <t>Invoice date falls outside the linked contract</t>
        </is>
      </c>
    </row>
    <row r="821">
      <c r="A821" t="inlineStr">
        <is>
          <t>INV00016398</t>
        </is>
      </c>
      <c r="B821" t="inlineStr">
        <is>
          <t>contract_date_conflict</t>
        </is>
      </c>
      <c r="C821" t="inlineStr">
        <is>
          <t>medium</t>
        </is>
      </c>
      <c r="D821" s="14" t="n">
        <v>45809</v>
      </c>
      <c r="E821" t="inlineStr">
        <is>
          <t>C001142</t>
        </is>
      </c>
      <c r="F821" s="9" t="n">
        <v>1880.2</v>
      </c>
      <c r="G821" t="inlineStr">
        <is>
          <t>Invoice date falls outside the linked contract</t>
        </is>
      </c>
    </row>
    <row r="822">
      <c r="A822" t="inlineStr">
        <is>
          <t>INV00016994</t>
        </is>
      </c>
      <c r="B822" t="inlineStr">
        <is>
          <t>contract_date_conflict</t>
        </is>
      </c>
      <c r="C822" t="inlineStr">
        <is>
          <t>medium</t>
        </is>
      </c>
      <c r="D822" s="14" t="n">
        <v>45809</v>
      </c>
      <c r="E822" t="inlineStr">
        <is>
          <t>C001179</t>
        </is>
      </c>
      <c r="F822" s="9" t="n">
        <v>13447.25</v>
      </c>
      <c r="G822" t="inlineStr">
        <is>
          <t>Invoice date falls outside the linked contract</t>
        </is>
      </c>
    </row>
    <row r="823">
      <c r="A823" t="inlineStr">
        <is>
          <t>INV00017313</t>
        </is>
      </c>
      <c r="B823" t="inlineStr">
        <is>
          <t>contract_date_conflict</t>
        </is>
      </c>
      <c r="C823" t="inlineStr">
        <is>
          <t>medium</t>
        </is>
      </c>
      <c r="D823" s="14" t="n">
        <v>45809</v>
      </c>
      <c r="E823" t="inlineStr">
        <is>
          <t>C001198</t>
        </is>
      </c>
      <c r="F823" s="9" t="n">
        <v>195</v>
      </c>
      <c r="G823" t="inlineStr">
        <is>
          <t>Invoice date falls outside the linked contract</t>
        </is>
      </c>
    </row>
    <row r="824">
      <c r="A824" t="inlineStr">
        <is>
          <t>INV00000315</t>
        </is>
      </c>
      <c r="B824" t="inlineStr">
        <is>
          <t>contract_date_conflict</t>
        </is>
      </c>
      <c r="C824" t="inlineStr">
        <is>
          <t>medium</t>
        </is>
      </c>
      <c r="D824" s="14" t="n">
        <v>45839</v>
      </c>
      <c r="E824" t="inlineStr">
        <is>
          <t>C000025</t>
        </is>
      </c>
      <c r="F824" s="9" t="n">
        <v>11026</v>
      </c>
      <c r="G824" t="inlineStr">
        <is>
          <t>Invoice date falls outside the linked contract</t>
        </is>
      </c>
    </row>
    <row r="825">
      <c r="A825" t="inlineStr">
        <is>
          <t>INV00001187</t>
        </is>
      </c>
      <c r="B825" t="inlineStr">
        <is>
          <t>contract_date_conflict</t>
        </is>
      </c>
      <c r="C825" t="inlineStr">
        <is>
          <t>medium</t>
        </is>
      </c>
      <c r="D825" s="14" t="n">
        <v>45839</v>
      </c>
      <c r="E825" t="inlineStr">
        <is>
          <t>C000077</t>
        </is>
      </c>
      <c r="F825" s="9" t="n">
        <v>165.75</v>
      </c>
      <c r="G825" t="inlineStr">
        <is>
          <t>Invoice date falls outside the linked contract</t>
        </is>
      </c>
    </row>
    <row r="826">
      <c r="A826" t="inlineStr">
        <is>
          <t>INV00001525</t>
        </is>
      </c>
      <c r="B826" t="inlineStr">
        <is>
          <t>contract_date_conflict</t>
        </is>
      </c>
      <c r="C826" t="inlineStr">
        <is>
          <t>medium</t>
        </is>
      </c>
      <c r="D826" s="14" t="n">
        <v>45839</v>
      </c>
      <c r="E826" t="inlineStr">
        <is>
          <t>C000101</t>
        </is>
      </c>
      <c r="F826" s="9" t="n">
        <v>9238</v>
      </c>
      <c r="G826" t="inlineStr">
        <is>
          <t>Invoice date falls outside the linked contract</t>
        </is>
      </c>
    </row>
    <row r="827">
      <c r="A827" t="inlineStr">
        <is>
          <t>INV00002097</t>
        </is>
      </c>
      <c r="B827" t="inlineStr">
        <is>
          <t>contract_date_conflict</t>
        </is>
      </c>
      <c r="C827" t="inlineStr">
        <is>
          <t>medium</t>
        </is>
      </c>
      <c r="D827" s="14" t="n">
        <v>45839</v>
      </c>
      <c r="E827" t="inlineStr">
        <is>
          <t>C000147</t>
        </is>
      </c>
      <c r="F827" s="9" t="n">
        <v>195</v>
      </c>
      <c r="G827" t="inlineStr">
        <is>
          <t>Invoice date falls outside the linked contract</t>
        </is>
      </c>
    </row>
    <row r="828">
      <c r="A828" t="inlineStr">
        <is>
          <t>INV00002771</t>
        </is>
      </c>
      <c r="B828" t="inlineStr">
        <is>
          <t>contract_date_conflict</t>
        </is>
      </c>
      <c r="C828" t="inlineStr">
        <is>
          <t>medium</t>
        </is>
      </c>
      <c r="D828" s="14" t="n">
        <v>45839</v>
      </c>
      <c r="E828" t="inlineStr">
        <is>
          <t>C000199</t>
        </is>
      </c>
      <c r="F828" s="9" t="n">
        <v>222.3</v>
      </c>
      <c r="G828" t="inlineStr">
        <is>
          <t>Invoice date falls outside the linked contract</t>
        </is>
      </c>
    </row>
    <row r="829">
      <c r="A829" t="inlineStr">
        <is>
          <t>INV00003912</t>
        </is>
      </c>
      <c r="B829" t="inlineStr">
        <is>
          <t>contract_date_conflict</t>
        </is>
      </c>
      <c r="C829" t="inlineStr">
        <is>
          <t>medium</t>
        </is>
      </c>
      <c r="D829" s="14" t="n">
        <v>45839</v>
      </c>
      <c r="E829" t="inlineStr">
        <is>
          <t>C000290</t>
        </is>
      </c>
      <c r="F829" s="9" t="n">
        <v>2338.4</v>
      </c>
      <c r="G829" t="inlineStr">
        <is>
          <t>Invoice date falls outside the linked contract</t>
        </is>
      </c>
    </row>
    <row r="830">
      <c r="A830" t="inlineStr">
        <is>
          <t>INV00004187</t>
        </is>
      </c>
      <c r="B830" t="inlineStr">
        <is>
          <t>contract_date_conflict</t>
        </is>
      </c>
      <c r="C830" t="inlineStr">
        <is>
          <t>medium</t>
        </is>
      </c>
      <c r="D830" s="14" t="n">
        <v>45839</v>
      </c>
      <c r="E830" t="inlineStr">
        <is>
          <t>C000312</t>
        </is>
      </c>
      <c r="F830" s="9" t="n">
        <v>1659</v>
      </c>
      <c r="G830" t="inlineStr">
        <is>
          <t>Invoice date falls outside the linked contract</t>
        </is>
      </c>
    </row>
    <row r="831">
      <c r="A831" t="inlineStr">
        <is>
          <t>INV00004245</t>
        </is>
      </c>
      <c r="B831" t="inlineStr">
        <is>
          <t>contract_date_conflict</t>
        </is>
      </c>
      <c r="C831" t="inlineStr">
        <is>
          <t>medium</t>
        </is>
      </c>
      <c r="D831" s="14" t="n">
        <v>45839</v>
      </c>
      <c r="E831" t="inlineStr">
        <is>
          <t>C000317</t>
        </is>
      </c>
      <c r="F831" s="9" t="n">
        <v>10057.5</v>
      </c>
      <c r="G831" t="inlineStr">
        <is>
          <t>Invoice date falls outside the linked contract</t>
        </is>
      </c>
    </row>
    <row r="832">
      <c r="A832" t="inlineStr">
        <is>
          <t>INV00004329</t>
        </is>
      </c>
      <c r="B832" t="inlineStr">
        <is>
          <t>contract_date_conflict</t>
        </is>
      </c>
      <c r="C832" t="inlineStr">
        <is>
          <t>medium</t>
        </is>
      </c>
      <c r="D832" s="14" t="n">
        <v>45839</v>
      </c>
      <c r="E832" t="inlineStr">
        <is>
          <t>C000323</t>
        </is>
      </c>
      <c r="F832" s="9" t="n">
        <v>259.35</v>
      </c>
      <c r="G832" t="inlineStr">
        <is>
          <t>Invoice date falls outside the linked contract</t>
        </is>
      </c>
    </row>
    <row r="833">
      <c r="A833" t="inlineStr">
        <is>
          <t>INV00005166</t>
        </is>
      </c>
      <c r="B833" t="inlineStr">
        <is>
          <t>contract_date_conflict</t>
        </is>
      </c>
      <c r="C833" t="inlineStr">
        <is>
          <t>medium</t>
        </is>
      </c>
      <c r="D833" s="14" t="n">
        <v>45839</v>
      </c>
      <c r="E833" t="inlineStr">
        <is>
          <t>C000373</t>
        </is>
      </c>
      <c r="F833" s="9" t="n">
        <v>185.25</v>
      </c>
      <c r="G833" t="inlineStr">
        <is>
          <t>Invoice date falls outside the linked contract</t>
        </is>
      </c>
    </row>
    <row r="834">
      <c r="A834" t="inlineStr">
        <is>
          <t>INV00005507</t>
        </is>
      </c>
      <c r="B834" t="inlineStr">
        <is>
          <t>contract_date_conflict</t>
        </is>
      </c>
      <c r="C834" t="inlineStr">
        <is>
          <t>medium</t>
        </is>
      </c>
      <c r="D834" s="14" t="n">
        <v>45839</v>
      </c>
      <c r="E834" t="inlineStr">
        <is>
          <t>C000392</t>
        </is>
      </c>
      <c r="F834" s="9" t="n">
        <v>1343</v>
      </c>
      <c r="G834" t="inlineStr">
        <is>
          <t>Invoice date falls outside the linked contract</t>
        </is>
      </c>
    </row>
    <row r="835">
      <c r="A835" t="inlineStr">
        <is>
          <t>INV00005852</t>
        </is>
      </c>
      <c r="B835" t="inlineStr">
        <is>
          <t>contract_date_conflict</t>
        </is>
      </c>
      <c r="C835" t="inlineStr">
        <is>
          <t>medium</t>
        </is>
      </c>
      <c r="D835" s="14" t="n">
        <v>45839</v>
      </c>
      <c r="E835" t="inlineStr">
        <is>
          <t>C000416</t>
        </is>
      </c>
      <c r="F835" s="9" t="n">
        <v>1635.3</v>
      </c>
      <c r="G835" t="inlineStr">
        <is>
          <t>Invoice date falls outside the linked contract</t>
        </is>
      </c>
    </row>
    <row r="836">
      <c r="A836" t="inlineStr">
        <is>
          <t>INV00005858</t>
        </is>
      </c>
      <c r="B836" t="inlineStr">
        <is>
          <t>contract_date_conflict</t>
        </is>
      </c>
      <c r="C836" t="inlineStr">
        <is>
          <t>medium</t>
        </is>
      </c>
      <c r="D836" s="14" t="n">
        <v>45839</v>
      </c>
      <c r="E836" t="inlineStr">
        <is>
          <t>C000417</t>
        </is>
      </c>
      <c r="F836" s="9" t="n">
        <v>1975</v>
      </c>
      <c r="G836" t="inlineStr">
        <is>
          <t>Invoice date falls outside the linked contract</t>
        </is>
      </c>
    </row>
    <row r="837">
      <c r="A837" t="inlineStr">
        <is>
          <t>INV00006523</t>
        </is>
      </c>
      <c r="B837" t="inlineStr">
        <is>
          <t>contract_date_conflict</t>
        </is>
      </c>
      <c r="C837" t="inlineStr">
        <is>
          <t>medium</t>
        </is>
      </c>
      <c r="D837" s="14" t="n">
        <v>45839</v>
      </c>
      <c r="E837" t="inlineStr">
        <is>
          <t>C000462</t>
        </is>
      </c>
      <c r="F837" s="9" t="n">
        <v>1501</v>
      </c>
      <c r="G837" t="inlineStr">
        <is>
          <t>Invoice date falls outside the linked contract</t>
        </is>
      </c>
    </row>
    <row r="838">
      <c r="A838" t="inlineStr">
        <is>
          <t>INV00006529</t>
        </is>
      </c>
      <c r="B838" t="inlineStr">
        <is>
          <t>contract_date_conflict</t>
        </is>
      </c>
      <c r="C838" t="inlineStr">
        <is>
          <t>medium</t>
        </is>
      </c>
      <c r="D838" s="14" t="n">
        <v>45839</v>
      </c>
      <c r="E838" t="inlineStr">
        <is>
          <t>C000463</t>
        </is>
      </c>
      <c r="F838" s="9" t="n">
        <v>1185</v>
      </c>
      <c r="G838" t="inlineStr">
        <is>
          <t>Invoice date falls outside the linked contract</t>
        </is>
      </c>
    </row>
    <row r="839">
      <c r="A839" t="inlineStr">
        <is>
          <t>INV00007454</t>
        </is>
      </c>
      <c r="B839" t="inlineStr">
        <is>
          <t>contract_date_conflict</t>
        </is>
      </c>
      <c r="C839" t="inlineStr">
        <is>
          <t>medium</t>
        </is>
      </c>
      <c r="D839" s="14" t="n">
        <v>45839</v>
      </c>
      <c r="E839" t="inlineStr">
        <is>
          <t>C000523</t>
        </is>
      </c>
      <c r="F839" s="9" t="n">
        <v>2449</v>
      </c>
      <c r="G839" t="inlineStr">
        <is>
          <t>Invoice date falls outside the linked contract</t>
        </is>
      </c>
    </row>
    <row r="840">
      <c r="A840" t="inlineStr">
        <is>
          <t>INV00008227</t>
        </is>
      </c>
      <c r="B840" t="inlineStr">
        <is>
          <t>contract_date_conflict</t>
        </is>
      </c>
      <c r="C840" t="inlineStr">
        <is>
          <t>medium</t>
        </is>
      </c>
      <c r="D840" s="14" t="n">
        <v>45839</v>
      </c>
      <c r="E840" t="inlineStr">
        <is>
          <t>C000582</t>
        </is>
      </c>
      <c r="F840" s="9" t="n">
        <v>6705</v>
      </c>
      <c r="G840" t="inlineStr">
        <is>
          <t>Invoice date falls outside the linked contract</t>
        </is>
      </c>
    </row>
    <row r="841">
      <c r="A841" t="inlineStr">
        <is>
          <t>INV00009054</t>
        </is>
      </c>
      <c r="B841" t="inlineStr">
        <is>
          <t>contract_date_conflict</t>
        </is>
      </c>
      <c r="C841" t="inlineStr">
        <is>
          <t>medium</t>
        </is>
      </c>
      <c r="D841" s="14" t="n">
        <v>45839</v>
      </c>
      <c r="E841" t="inlineStr">
        <is>
          <t>C000634</t>
        </is>
      </c>
      <c r="F841" s="9" t="n">
        <v>273</v>
      </c>
      <c r="G841" t="inlineStr">
        <is>
          <t>Invoice date falls outside the linked contract</t>
        </is>
      </c>
    </row>
    <row r="842">
      <c r="A842" t="inlineStr">
        <is>
          <t>INV00009240</t>
        </is>
      </c>
      <c r="B842" t="inlineStr">
        <is>
          <t>contract_date_conflict</t>
        </is>
      </c>
      <c r="C842" t="inlineStr">
        <is>
          <t>medium</t>
        </is>
      </c>
      <c r="D842" s="14" t="n">
        <v>45839</v>
      </c>
      <c r="E842" t="inlineStr">
        <is>
          <t>C000646</t>
        </is>
      </c>
      <c r="F842" s="9" t="n">
        <v>1580</v>
      </c>
      <c r="G842" t="inlineStr">
        <is>
          <t>Invoice date falls outside the linked contract</t>
        </is>
      </c>
    </row>
    <row r="843">
      <c r="A843" t="inlineStr">
        <is>
          <t>INV00009702</t>
        </is>
      </c>
      <c r="B843" t="inlineStr">
        <is>
          <t>contract_date_conflict</t>
        </is>
      </c>
      <c r="C843" t="inlineStr">
        <is>
          <t>medium</t>
        </is>
      </c>
      <c r="D843" s="14" t="n">
        <v>45839</v>
      </c>
      <c r="E843" t="inlineStr">
        <is>
          <t>C000684</t>
        </is>
      </c>
      <c r="F843" s="9" t="n">
        <v>1264</v>
      </c>
      <c r="G843" t="inlineStr">
        <is>
          <t>Invoice date falls outside the linked contract</t>
        </is>
      </c>
    </row>
    <row r="844">
      <c r="A844" t="inlineStr">
        <is>
          <t>INV00009763</t>
        </is>
      </c>
      <c r="B844" t="inlineStr">
        <is>
          <t>contract_date_conflict</t>
        </is>
      </c>
      <c r="C844" t="inlineStr">
        <is>
          <t>medium</t>
        </is>
      </c>
      <c r="D844" s="14" t="n">
        <v>45839</v>
      </c>
      <c r="E844" t="inlineStr">
        <is>
          <t>C000688</t>
        </is>
      </c>
      <c r="F844" s="9" t="n">
        <v>2926.95</v>
      </c>
      <c r="G844" t="inlineStr">
        <is>
          <t>Invoice date falls outside the linked contract</t>
        </is>
      </c>
    </row>
    <row r="845">
      <c r="A845" t="inlineStr">
        <is>
          <t>INV00010690</t>
        </is>
      </c>
      <c r="B845" t="inlineStr">
        <is>
          <t>contract_date_conflict</t>
        </is>
      </c>
      <c r="C845" t="inlineStr">
        <is>
          <t>medium</t>
        </is>
      </c>
      <c r="D845" s="14" t="n">
        <v>45839</v>
      </c>
      <c r="E845" t="inlineStr">
        <is>
          <t>C000751</t>
        </is>
      </c>
      <c r="F845" s="9" t="n">
        <v>7450</v>
      </c>
      <c r="G845" t="inlineStr">
        <is>
          <t>Invoice date falls outside the linked contract</t>
        </is>
      </c>
    </row>
    <row r="846">
      <c r="A846" t="inlineStr">
        <is>
          <t>INV00010820</t>
        </is>
      </c>
      <c r="B846" t="inlineStr">
        <is>
          <t>contract_date_conflict</t>
        </is>
      </c>
      <c r="C846" t="inlineStr">
        <is>
          <t>medium</t>
        </is>
      </c>
      <c r="D846" s="14" t="n">
        <v>45839</v>
      </c>
      <c r="E846" t="inlineStr">
        <is>
          <t>C000757</t>
        </is>
      </c>
      <c r="F846" s="9" t="n">
        <v>175.5</v>
      </c>
      <c r="G846" t="inlineStr">
        <is>
          <t>Invoice date falls outside the linked contract</t>
        </is>
      </c>
    </row>
    <row r="847">
      <c r="A847" t="inlineStr">
        <is>
          <t>INV00011784</t>
        </is>
      </c>
      <c r="B847" t="inlineStr">
        <is>
          <t>contract_date_conflict</t>
        </is>
      </c>
      <c r="C847" t="inlineStr">
        <is>
          <t>medium</t>
        </is>
      </c>
      <c r="D847" s="14" t="n">
        <v>45839</v>
      </c>
      <c r="E847" t="inlineStr">
        <is>
          <t>C000828</t>
        </is>
      </c>
      <c r="F847" s="9" t="n">
        <v>1817</v>
      </c>
      <c r="G847" t="inlineStr">
        <is>
          <t>Invoice date falls outside the linked contract</t>
        </is>
      </c>
    </row>
    <row r="848">
      <c r="A848" t="inlineStr">
        <is>
          <t>INV00012038</t>
        </is>
      </c>
      <c r="B848" t="inlineStr">
        <is>
          <t>contract_date_conflict</t>
        </is>
      </c>
      <c r="C848" t="inlineStr">
        <is>
          <t>medium</t>
        </is>
      </c>
      <c r="D848" s="14" t="n">
        <v>45839</v>
      </c>
      <c r="E848" t="inlineStr">
        <is>
          <t>C000844</t>
        </is>
      </c>
      <c r="F848" s="9" t="n">
        <v>12203.1</v>
      </c>
      <c r="G848" t="inlineStr">
        <is>
          <t>Invoice date falls outside the linked contract</t>
        </is>
      </c>
    </row>
    <row r="849">
      <c r="A849" t="inlineStr">
        <is>
          <t>INV00012314</t>
        </is>
      </c>
      <c r="B849" t="inlineStr">
        <is>
          <t>contract_date_conflict</t>
        </is>
      </c>
      <c r="C849" t="inlineStr">
        <is>
          <t>medium</t>
        </is>
      </c>
      <c r="D849" s="14" t="n">
        <v>45839</v>
      </c>
      <c r="E849" t="inlineStr">
        <is>
          <t>C000868</t>
        </is>
      </c>
      <c r="F849" s="9" t="n">
        <v>3081</v>
      </c>
      <c r="G849" t="inlineStr">
        <is>
          <t>Invoice date falls outside the linked contract</t>
        </is>
      </c>
    </row>
    <row r="850">
      <c r="A850" t="inlineStr">
        <is>
          <t>INV00012770</t>
        </is>
      </c>
      <c r="B850" t="inlineStr">
        <is>
          <t>contract_date_conflict</t>
        </is>
      </c>
      <c r="C850" t="inlineStr">
        <is>
          <t>medium</t>
        </is>
      </c>
      <c r="D850" s="14" t="n">
        <v>45839</v>
      </c>
      <c r="E850" t="inlineStr">
        <is>
          <t>C000899</t>
        </is>
      </c>
      <c r="F850" s="9" t="n">
        <v>2346.3</v>
      </c>
      <c r="G850" t="inlineStr">
        <is>
          <t>Invoice date falls outside the linked contract</t>
        </is>
      </c>
    </row>
    <row r="851">
      <c r="A851" t="inlineStr">
        <is>
          <t>INV00013097</t>
        </is>
      </c>
      <c r="B851" t="inlineStr">
        <is>
          <t>contract_date_conflict</t>
        </is>
      </c>
      <c r="C851" t="inlineStr">
        <is>
          <t>medium</t>
        </is>
      </c>
      <c r="D851" s="14" t="n">
        <v>45839</v>
      </c>
      <c r="E851" t="inlineStr">
        <is>
          <t>C000921</t>
        </is>
      </c>
      <c r="F851" s="9" t="n">
        <v>429</v>
      </c>
      <c r="G851" t="inlineStr">
        <is>
          <t>Invoice date falls outside the linked contract</t>
        </is>
      </c>
    </row>
    <row r="852">
      <c r="A852" t="inlineStr">
        <is>
          <t>INV00013867</t>
        </is>
      </c>
      <c r="B852" t="inlineStr">
        <is>
          <t>contract_date_conflict</t>
        </is>
      </c>
      <c r="C852" t="inlineStr">
        <is>
          <t>medium</t>
        </is>
      </c>
      <c r="D852" s="14" t="n">
        <v>45839</v>
      </c>
      <c r="E852" t="inlineStr">
        <is>
          <t>C000979</t>
        </is>
      </c>
      <c r="F852" s="9" t="n">
        <v>315.9</v>
      </c>
      <c r="G852" t="inlineStr">
        <is>
          <t>Invoice date falls outside the linked contract</t>
        </is>
      </c>
    </row>
    <row r="853">
      <c r="A853" t="inlineStr">
        <is>
          <t>INV00014684</t>
        </is>
      </c>
      <c r="B853" t="inlineStr">
        <is>
          <t>contract_date_conflict</t>
        </is>
      </c>
      <c r="C853" t="inlineStr">
        <is>
          <t>medium</t>
        </is>
      </c>
      <c r="D853" s="14" t="n">
        <v>45839</v>
      </c>
      <c r="E853" t="inlineStr">
        <is>
          <t>C001025</t>
        </is>
      </c>
      <c r="F853" s="9" t="n">
        <v>2370</v>
      </c>
      <c r="G853" t="inlineStr">
        <is>
          <t>Invoice date falls outside the linked contract</t>
        </is>
      </c>
    </row>
    <row r="854">
      <c r="A854" t="inlineStr">
        <is>
          <t>INV00015485</t>
        </is>
      </c>
      <c r="B854" t="inlineStr">
        <is>
          <t>contract_date_conflict</t>
        </is>
      </c>
      <c r="C854" t="inlineStr">
        <is>
          <t>medium</t>
        </is>
      </c>
      <c r="D854" s="14" t="n">
        <v>45839</v>
      </c>
      <c r="E854" t="inlineStr">
        <is>
          <t>C001077</t>
        </is>
      </c>
      <c r="F854" s="9" t="n">
        <v>1501</v>
      </c>
      <c r="G854" t="inlineStr">
        <is>
          <t>Invoice date falls outside the linked contract</t>
        </is>
      </c>
    </row>
    <row r="855">
      <c r="A855" t="inlineStr">
        <is>
          <t>INV00015610</t>
        </is>
      </c>
      <c r="B855" t="inlineStr">
        <is>
          <t>contract_date_conflict</t>
        </is>
      </c>
      <c r="C855" t="inlineStr">
        <is>
          <t>medium</t>
        </is>
      </c>
      <c r="D855" s="14" t="n">
        <v>45839</v>
      </c>
      <c r="E855" t="inlineStr">
        <is>
          <t>C001083</t>
        </is>
      </c>
      <c r="F855" s="9" t="n">
        <v>1576.05</v>
      </c>
      <c r="G855" t="inlineStr">
        <is>
          <t>Invoice date falls outside the linked contract</t>
        </is>
      </c>
    </row>
    <row r="856">
      <c r="A856" t="inlineStr">
        <is>
          <t>INV00015736</t>
        </is>
      </c>
      <c r="B856" t="inlineStr">
        <is>
          <t>contract_date_conflict</t>
        </is>
      </c>
      <c r="C856" t="inlineStr">
        <is>
          <t>medium</t>
        </is>
      </c>
      <c r="D856" s="14" t="n">
        <v>45839</v>
      </c>
      <c r="E856" t="inlineStr">
        <is>
          <t>C001092</t>
        </is>
      </c>
      <c r="F856" s="9" t="n">
        <v>351</v>
      </c>
      <c r="G856" t="inlineStr">
        <is>
          <t>Invoice date falls outside the linked contract</t>
        </is>
      </c>
    </row>
    <row r="857">
      <c r="A857" t="inlineStr">
        <is>
          <t>INV00000021</t>
        </is>
      </c>
      <c r="B857" t="inlineStr">
        <is>
          <t>contract_date_conflict</t>
        </is>
      </c>
      <c r="C857" t="inlineStr">
        <is>
          <t>medium</t>
        </is>
      </c>
      <c r="D857" s="14" t="n">
        <v>45870</v>
      </c>
      <c r="E857" t="inlineStr">
        <is>
          <t>C000003</t>
        </is>
      </c>
      <c r="F857" s="9" t="n">
        <v>259.35</v>
      </c>
      <c r="G857" t="inlineStr">
        <is>
          <t>Invoice date falls outside the linked contract</t>
        </is>
      </c>
    </row>
    <row r="858">
      <c r="A858" t="inlineStr">
        <is>
          <t>INV00000535</t>
        </is>
      </c>
      <c r="B858" t="inlineStr">
        <is>
          <t>contract_date_conflict</t>
        </is>
      </c>
      <c r="C858" t="inlineStr">
        <is>
          <t>medium</t>
        </is>
      </c>
      <c r="D858" s="14" t="n">
        <v>45870</v>
      </c>
      <c r="E858" t="inlineStr">
        <is>
          <t>C000035</t>
        </is>
      </c>
      <c r="F858" s="9" t="n">
        <v>234</v>
      </c>
      <c r="G858" t="inlineStr">
        <is>
          <t>Invoice date falls outside the linked contract</t>
        </is>
      </c>
    </row>
    <row r="859">
      <c r="A859" t="inlineStr">
        <is>
          <t>INV00000584</t>
        </is>
      </c>
      <c r="B859" t="inlineStr">
        <is>
          <t>contract_date_conflict</t>
        </is>
      </c>
      <c r="C859" t="inlineStr">
        <is>
          <t>medium</t>
        </is>
      </c>
      <c r="D859" s="14" t="n">
        <v>45870</v>
      </c>
      <c r="E859" t="inlineStr">
        <is>
          <t>C000040</t>
        </is>
      </c>
      <c r="F859" s="9" t="n">
        <v>222.3</v>
      </c>
      <c r="G859" t="inlineStr">
        <is>
          <t>Invoice date falls outside the linked contract</t>
        </is>
      </c>
    </row>
    <row r="860">
      <c r="A860" t="inlineStr">
        <is>
          <t>INV00001250</t>
        </is>
      </c>
      <c r="B860" t="inlineStr">
        <is>
          <t>contract_date_conflict</t>
        </is>
      </c>
      <c r="C860" t="inlineStr">
        <is>
          <t>medium</t>
        </is>
      </c>
      <c r="D860" s="14" t="n">
        <v>45870</v>
      </c>
      <c r="E860" t="inlineStr">
        <is>
          <t>C000082</t>
        </is>
      </c>
      <c r="F860" s="9" t="n">
        <v>210.6</v>
      </c>
      <c r="G860" t="inlineStr">
        <is>
          <t>Invoice date falls outside the linked contract</t>
        </is>
      </c>
    </row>
    <row r="861">
      <c r="A861" t="inlineStr">
        <is>
          <t>INV00001483</t>
        </is>
      </c>
      <c r="B861" t="inlineStr">
        <is>
          <t>contract_date_conflict</t>
        </is>
      </c>
      <c r="C861" t="inlineStr">
        <is>
          <t>medium</t>
        </is>
      </c>
      <c r="D861" s="14" t="n">
        <v>45870</v>
      </c>
      <c r="E861" t="inlineStr">
        <is>
          <t>C000098</t>
        </is>
      </c>
      <c r="F861" s="9" t="n">
        <v>8046</v>
      </c>
      <c r="G861" t="inlineStr">
        <is>
          <t>Invoice date falls outside the linked contract</t>
        </is>
      </c>
    </row>
    <row r="862">
      <c r="A862" t="inlineStr">
        <is>
          <t>INV00001544</t>
        </is>
      </c>
      <c r="B862" t="inlineStr">
        <is>
          <t>contract_date_conflict</t>
        </is>
      </c>
      <c r="C862" t="inlineStr">
        <is>
          <t>medium</t>
        </is>
      </c>
      <c r="D862" s="14" t="n">
        <v>45870</v>
      </c>
      <c r="E862" t="inlineStr">
        <is>
          <t>C000104</t>
        </is>
      </c>
      <c r="F862" s="9" t="n">
        <v>175.5</v>
      </c>
      <c r="G862" t="inlineStr">
        <is>
          <t>Invoice date falls outside the linked contract</t>
        </is>
      </c>
    </row>
    <row r="863">
      <c r="A863" t="inlineStr">
        <is>
          <t>INV00001735</t>
        </is>
      </c>
      <c r="B863" t="inlineStr">
        <is>
          <t>contract_date_conflict</t>
        </is>
      </c>
      <c r="C863" t="inlineStr">
        <is>
          <t>medium</t>
        </is>
      </c>
      <c r="D863" s="14" t="n">
        <v>45870</v>
      </c>
      <c r="E863" t="inlineStr">
        <is>
          <t>C000116</t>
        </is>
      </c>
      <c r="F863" s="9" t="n">
        <v>175.5</v>
      </c>
      <c r="G863" t="inlineStr">
        <is>
          <t>Invoice date falls outside the linked contract</t>
        </is>
      </c>
    </row>
    <row r="864">
      <c r="A864" t="inlineStr">
        <is>
          <t>INV00002103</t>
        </is>
      </c>
      <c r="B864" t="inlineStr">
        <is>
          <t>contract_date_conflict</t>
        </is>
      </c>
      <c r="C864" t="inlineStr">
        <is>
          <t>medium</t>
        </is>
      </c>
      <c r="D864" s="14" t="n">
        <v>45870</v>
      </c>
      <c r="E864" t="inlineStr">
        <is>
          <t>C000148</t>
        </is>
      </c>
      <c r="F864" s="9" t="n">
        <v>7077.5</v>
      </c>
      <c r="G864" t="inlineStr">
        <is>
          <t>Invoice date falls outside the linked contract</t>
        </is>
      </c>
    </row>
    <row r="865">
      <c r="A865" t="inlineStr">
        <is>
          <t>INV00002539</t>
        </is>
      </c>
      <c r="B865" t="inlineStr">
        <is>
          <t>contract_date_conflict</t>
        </is>
      </c>
      <c r="C865" t="inlineStr">
        <is>
          <t>medium</t>
        </is>
      </c>
      <c r="D865" s="14" t="n">
        <v>45870</v>
      </c>
      <c r="E865" t="inlineStr">
        <is>
          <t>C000179</t>
        </is>
      </c>
      <c r="F865" s="9" t="n">
        <v>195</v>
      </c>
      <c r="G865" t="inlineStr">
        <is>
          <t>Invoice date falls outside the linked contract</t>
        </is>
      </c>
    </row>
    <row r="866">
      <c r="A866" t="inlineStr">
        <is>
          <t>INV00005117</t>
        </is>
      </c>
      <c r="B866" t="inlineStr">
        <is>
          <t>contract_date_conflict</t>
        </is>
      </c>
      <c r="C866" t="inlineStr">
        <is>
          <t>medium</t>
        </is>
      </c>
      <c r="D866" s="14" t="n">
        <v>45870</v>
      </c>
      <c r="E866" t="inlineStr">
        <is>
          <t>C000368</t>
        </is>
      </c>
      <c r="F866" s="9" t="n">
        <v>1817</v>
      </c>
      <c r="G866" t="inlineStr">
        <is>
          <t>Invoice date falls outside the linked contract</t>
        </is>
      </c>
    </row>
    <row r="867">
      <c r="A867" t="inlineStr">
        <is>
          <t>INV00005970</t>
        </is>
      </c>
      <c r="B867" t="inlineStr">
        <is>
          <t>contract_date_conflict</t>
        </is>
      </c>
      <c r="C867" t="inlineStr">
        <is>
          <t>medium</t>
        </is>
      </c>
      <c r="D867" s="14" t="n">
        <v>45870</v>
      </c>
      <c r="E867" t="inlineStr">
        <is>
          <t>C000425</t>
        </is>
      </c>
      <c r="F867" s="9" t="n">
        <v>1611.6</v>
      </c>
      <c r="G867" t="inlineStr">
        <is>
          <t>Invoice date falls outside the linked contract</t>
        </is>
      </c>
    </row>
    <row r="868">
      <c r="A868" t="inlineStr">
        <is>
          <t>INV00006586</t>
        </is>
      </c>
      <c r="B868" t="inlineStr">
        <is>
          <t>contract_date_conflict</t>
        </is>
      </c>
      <c r="C868" t="inlineStr">
        <is>
          <t>medium</t>
        </is>
      </c>
      <c r="D868" s="14" t="n">
        <v>45870</v>
      </c>
      <c r="E868" t="inlineStr">
        <is>
          <t>C000472</t>
        </is>
      </c>
      <c r="F868" s="9" t="n">
        <v>351</v>
      </c>
      <c r="G868" t="inlineStr">
        <is>
          <t>Invoice date falls outside the linked contract</t>
        </is>
      </c>
    </row>
    <row r="869">
      <c r="A869" t="inlineStr">
        <is>
          <t>INV00007515</t>
        </is>
      </c>
      <c r="B869" t="inlineStr">
        <is>
          <t>contract_date_conflict</t>
        </is>
      </c>
      <c r="C869" t="inlineStr">
        <is>
          <t>medium</t>
        </is>
      </c>
      <c r="D869" s="14" t="n">
        <v>45870</v>
      </c>
      <c r="E869" t="inlineStr">
        <is>
          <t>C000527</t>
        </is>
      </c>
      <c r="F869" s="9" t="n">
        <v>13007.7</v>
      </c>
      <c r="G869" t="inlineStr">
        <is>
          <t>Invoice date falls outside the linked contract</t>
        </is>
      </c>
    </row>
    <row r="870">
      <c r="A870" t="inlineStr">
        <is>
          <t>INV00008954</t>
        </is>
      </c>
      <c r="B870" t="inlineStr">
        <is>
          <t>contract_date_conflict</t>
        </is>
      </c>
      <c r="C870" t="inlineStr">
        <is>
          <t>medium</t>
        </is>
      </c>
      <c r="D870" s="14" t="n">
        <v>45870</v>
      </c>
      <c r="E870" t="inlineStr">
        <is>
          <t>C000629</t>
        </is>
      </c>
      <c r="F870" s="9" t="n">
        <v>222.3</v>
      </c>
      <c r="G870" t="inlineStr">
        <is>
          <t>Invoice date falls outside the linked contract</t>
        </is>
      </c>
    </row>
    <row r="871">
      <c r="A871" t="inlineStr">
        <is>
          <t>INV00010964</t>
        </is>
      </c>
      <c r="B871" t="inlineStr">
        <is>
          <t>contract_date_conflict</t>
        </is>
      </c>
      <c r="C871" t="inlineStr">
        <is>
          <t>medium</t>
        </is>
      </c>
      <c r="D871" s="14" t="n">
        <v>45870</v>
      </c>
      <c r="E871" t="inlineStr">
        <is>
          <t>C000770</t>
        </is>
      </c>
      <c r="F871" s="9" t="n">
        <v>1185</v>
      </c>
      <c r="G871" t="inlineStr">
        <is>
          <t>Invoice date falls outside the linked contract</t>
        </is>
      </c>
    </row>
    <row r="872">
      <c r="A872" t="inlineStr">
        <is>
          <t>INV00011007</t>
        </is>
      </c>
      <c r="B872" t="inlineStr">
        <is>
          <t>contract_date_conflict</t>
        </is>
      </c>
      <c r="C872" t="inlineStr">
        <is>
          <t>medium</t>
        </is>
      </c>
      <c r="D872" s="14" t="n">
        <v>45870</v>
      </c>
      <c r="E872" t="inlineStr">
        <is>
          <t>C000773</t>
        </is>
      </c>
      <c r="F872" s="9" t="n">
        <v>2251.5</v>
      </c>
      <c r="G872" t="inlineStr">
        <is>
          <t>Invoice date falls outside the linked contract</t>
        </is>
      </c>
    </row>
    <row r="873">
      <c r="A873" t="inlineStr">
        <is>
          <t>INV00011044</t>
        </is>
      </c>
      <c r="B873" t="inlineStr">
        <is>
          <t>contract_date_conflict</t>
        </is>
      </c>
      <c r="C873" t="inlineStr">
        <is>
          <t>medium</t>
        </is>
      </c>
      <c r="D873" s="14" t="n">
        <v>45870</v>
      </c>
      <c r="E873" t="inlineStr">
        <is>
          <t>C000777</t>
        </is>
      </c>
      <c r="F873" s="9" t="n">
        <v>1208.7</v>
      </c>
      <c r="G873" t="inlineStr">
        <is>
          <t>Invoice date falls outside the linked contract</t>
        </is>
      </c>
    </row>
    <row r="874">
      <c r="A874" t="inlineStr">
        <is>
          <t>INV00011495</t>
        </is>
      </c>
      <c r="B874" t="inlineStr">
        <is>
          <t>contract_date_conflict</t>
        </is>
      </c>
      <c r="C874" t="inlineStr">
        <is>
          <t>medium</t>
        </is>
      </c>
      <c r="D874" s="14" t="n">
        <v>45870</v>
      </c>
      <c r="E874" t="inlineStr">
        <is>
          <t>C000808</t>
        </is>
      </c>
      <c r="F874" s="9" t="n">
        <v>8493</v>
      </c>
      <c r="G874" t="inlineStr">
        <is>
          <t>Invoice date falls outside the linked contract</t>
        </is>
      </c>
    </row>
    <row r="875">
      <c r="A875" t="inlineStr">
        <is>
          <t>INV00012096</t>
        </is>
      </c>
      <c r="B875" t="inlineStr">
        <is>
          <t>contract_date_conflict</t>
        </is>
      </c>
      <c r="C875" t="inlineStr">
        <is>
          <t>medium</t>
        </is>
      </c>
      <c r="D875" s="14" t="n">
        <v>45870</v>
      </c>
      <c r="E875" t="inlineStr">
        <is>
          <t>C000849</t>
        </is>
      </c>
      <c r="F875" s="9" t="n">
        <v>1275.85</v>
      </c>
      <c r="G875" t="inlineStr">
        <is>
          <t>Invoice date falls outside the linked contract</t>
        </is>
      </c>
    </row>
    <row r="876">
      <c r="A876" t="inlineStr">
        <is>
          <t>INV00012236</t>
        </is>
      </c>
      <c r="B876" t="inlineStr">
        <is>
          <t>contract_date_conflict</t>
        </is>
      </c>
      <c r="C876" t="inlineStr">
        <is>
          <t>medium</t>
        </is>
      </c>
      <c r="D876" s="14" t="n">
        <v>45870</v>
      </c>
      <c r="E876" t="inlineStr">
        <is>
          <t>C000859</t>
        </is>
      </c>
      <c r="F876" s="9" t="n">
        <v>1185</v>
      </c>
      <c r="G876" t="inlineStr">
        <is>
          <t>Invoice date falls outside the linked contract</t>
        </is>
      </c>
    </row>
    <row r="877">
      <c r="A877" t="inlineStr">
        <is>
          <t>INV00012521</t>
        </is>
      </c>
      <c r="B877" t="inlineStr">
        <is>
          <t>contract_date_conflict</t>
        </is>
      </c>
      <c r="C877" t="inlineStr">
        <is>
          <t>medium</t>
        </is>
      </c>
      <c r="D877" s="14" t="n">
        <v>45870</v>
      </c>
      <c r="E877" t="inlineStr">
        <is>
          <t>C000883</t>
        </is>
      </c>
      <c r="F877" s="9" t="n">
        <v>1007.25</v>
      </c>
      <c r="G877" t="inlineStr">
        <is>
          <t>Invoice date falls outside the linked contract</t>
        </is>
      </c>
    </row>
    <row r="878">
      <c r="A878" t="inlineStr">
        <is>
          <t>INV00013379</t>
        </is>
      </c>
      <c r="B878" t="inlineStr">
        <is>
          <t>contract_date_conflict</t>
        </is>
      </c>
      <c r="C878" t="inlineStr">
        <is>
          <t>medium</t>
        </is>
      </c>
      <c r="D878" s="14" t="n">
        <v>45870</v>
      </c>
      <c r="E878" t="inlineStr">
        <is>
          <t>C000945</t>
        </is>
      </c>
      <c r="F878" s="9" t="n">
        <v>175.5</v>
      </c>
      <c r="G878" t="inlineStr">
        <is>
          <t>Invoice date falls outside the linked contract</t>
        </is>
      </c>
    </row>
    <row r="879">
      <c r="A879" t="inlineStr">
        <is>
          <t>INV00014465</t>
        </is>
      </c>
      <c r="B879" t="inlineStr">
        <is>
          <t>contract_date_conflict</t>
        </is>
      </c>
      <c r="C879" t="inlineStr">
        <is>
          <t>medium</t>
        </is>
      </c>
      <c r="D879" s="14" t="n">
        <v>45870</v>
      </c>
      <c r="E879" t="inlineStr">
        <is>
          <t>C001013</t>
        </is>
      </c>
      <c r="F879" s="9" t="n">
        <v>351</v>
      </c>
      <c r="G879" t="inlineStr">
        <is>
          <t>Invoice date falls outside the linked contract</t>
        </is>
      </c>
    </row>
    <row r="880">
      <c r="A880" t="inlineStr">
        <is>
          <t>INV00015021</t>
        </is>
      </c>
      <c r="B880" t="inlineStr">
        <is>
          <t>contract_date_conflict</t>
        </is>
      </c>
      <c r="C880" t="inlineStr">
        <is>
          <t>medium</t>
        </is>
      </c>
      <c r="D880" s="14" t="n">
        <v>45870</v>
      </c>
      <c r="E880" t="inlineStr">
        <is>
          <t>C001048</t>
        </is>
      </c>
      <c r="F880" s="9" t="n">
        <v>195</v>
      </c>
      <c r="G880" t="inlineStr">
        <is>
          <t>Invoice date falls outside the linked contract</t>
        </is>
      </c>
    </row>
    <row r="881">
      <c r="A881" t="inlineStr">
        <is>
          <t>INV00016101</t>
        </is>
      </c>
      <c r="B881" t="inlineStr">
        <is>
          <t>contract_date_conflict</t>
        </is>
      </c>
      <c r="C881" t="inlineStr">
        <is>
          <t>medium</t>
        </is>
      </c>
      <c r="D881" s="14" t="n">
        <v>45870</v>
      </c>
      <c r="E881" t="inlineStr">
        <is>
          <t>C001125</t>
        </is>
      </c>
      <c r="F881" s="9" t="n">
        <v>280.8</v>
      </c>
      <c r="G881" t="inlineStr">
        <is>
          <t>Invoice date falls outside the linked contract</t>
        </is>
      </c>
    </row>
    <row r="882">
      <c r="A882" t="inlineStr">
        <is>
          <t>INV00016238</t>
        </is>
      </c>
      <c r="B882" t="inlineStr">
        <is>
          <t>contract_date_conflict</t>
        </is>
      </c>
      <c r="C882" t="inlineStr">
        <is>
          <t>medium</t>
        </is>
      </c>
      <c r="D882" s="14" t="n">
        <v>45870</v>
      </c>
      <c r="E882" t="inlineStr">
        <is>
          <t>C001132</t>
        </is>
      </c>
      <c r="F882" s="9" t="n">
        <v>507</v>
      </c>
      <c r="G882" t="inlineStr">
        <is>
          <t>Invoice date falls outside the linked contract</t>
        </is>
      </c>
    </row>
    <row r="883">
      <c r="A883" t="inlineStr">
        <is>
          <t>INV00016648</t>
        </is>
      </c>
      <c r="B883" t="inlineStr">
        <is>
          <t>contract_date_conflict</t>
        </is>
      </c>
      <c r="C883" t="inlineStr">
        <is>
          <t>medium</t>
        </is>
      </c>
      <c r="D883" s="14" t="n">
        <v>45870</v>
      </c>
      <c r="E883" t="inlineStr">
        <is>
          <t>C001158</t>
        </is>
      </c>
      <c r="F883" s="9" t="n">
        <v>1410.15</v>
      </c>
      <c r="G883" t="inlineStr">
        <is>
          <t>Invoice date falls outside the linked contract</t>
        </is>
      </c>
    </row>
    <row r="884">
      <c r="A884" t="inlineStr">
        <is>
          <t>INV00016989</t>
        </is>
      </c>
      <c r="B884" t="inlineStr">
        <is>
          <t>contract_date_conflict</t>
        </is>
      </c>
      <c r="C884" t="inlineStr">
        <is>
          <t>medium</t>
        </is>
      </c>
      <c r="D884" s="14" t="n">
        <v>45870</v>
      </c>
      <c r="E884" t="inlineStr">
        <is>
          <t>C001178</t>
        </is>
      </c>
      <c r="F884" s="9" t="n">
        <v>198.9</v>
      </c>
      <c r="G884" t="inlineStr">
        <is>
          <t>Invoice date falls outside the linked contract</t>
        </is>
      </c>
    </row>
    <row r="885">
      <c r="A885" t="inlineStr">
        <is>
          <t>INV00002071</t>
        </is>
      </c>
      <c r="B885" t="inlineStr">
        <is>
          <t>contract_date_conflict</t>
        </is>
      </c>
      <c r="C885" t="inlineStr">
        <is>
          <t>medium</t>
        </is>
      </c>
      <c r="D885" s="14" t="n">
        <v>45901</v>
      </c>
      <c r="E885" t="inlineStr">
        <is>
          <t>C000145</t>
        </is>
      </c>
      <c r="F885" s="9" t="n">
        <v>2765</v>
      </c>
      <c r="G885" t="inlineStr">
        <is>
          <t>Invoice date falls outside the linked contract</t>
        </is>
      </c>
    </row>
    <row r="886">
      <c r="A886" t="inlineStr">
        <is>
          <t>INV00002818</t>
        </is>
      </c>
      <c r="B886" t="inlineStr">
        <is>
          <t>contract_date_conflict</t>
        </is>
      </c>
      <c r="C886" t="inlineStr">
        <is>
          <t>medium</t>
        </is>
      </c>
      <c r="D886" s="14" t="n">
        <v>45901</v>
      </c>
      <c r="E886" t="inlineStr">
        <is>
          <t>C000202</t>
        </is>
      </c>
      <c r="F886" s="9" t="n">
        <v>312</v>
      </c>
      <c r="G886" t="inlineStr">
        <is>
          <t>Invoice date falls outside the linked contract</t>
        </is>
      </c>
    </row>
    <row r="887">
      <c r="A887" t="inlineStr">
        <is>
          <t>INV00002853</t>
        </is>
      </c>
      <c r="B887" t="inlineStr">
        <is>
          <t>contract_date_conflict</t>
        </is>
      </c>
      <c r="C887" t="inlineStr">
        <is>
          <t>medium</t>
        </is>
      </c>
      <c r="D887" s="14" t="n">
        <v>45901</v>
      </c>
      <c r="E887" t="inlineStr">
        <is>
          <t>C000205</t>
        </is>
      </c>
      <c r="F887" s="9" t="n">
        <v>2401.6</v>
      </c>
      <c r="G887" t="inlineStr">
        <is>
          <t>Invoice date falls outside the linked contract</t>
        </is>
      </c>
    </row>
    <row r="888">
      <c r="A888" t="inlineStr">
        <is>
          <t>INV00005578</t>
        </is>
      </c>
      <c r="B888" t="inlineStr">
        <is>
          <t>contract_date_conflict</t>
        </is>
      </c>
      <c r="C888" t="inlineStr">
        <is>
          <t>medium</t>
        </is>
      </c>
      <c r="D888" s="14" t="n">
        <v>45901</v>
      </c>
      <c r="E888" t="inlineStr">
        <is>
          <t>C000397</t>
        </is>
      </c>
      <c r="F888" s="9" t="n">
        <v>1185</v>
      </c>
      <c r="G888" t="inlineStr">
        <is>
          <t>Invoice date falls outside the linked contract</t>
        </is>
      </c>
    </row>
    <row r="889">
      <c r="A889" t="inlineStr">
        <is>
          <t>INV00005628</t>
        </is>
      </c>
      <c r="B889" t="inlineStr">
        <is>
          <t>contract_date_conflict</t>
        </is>
      </c>
      <c r="C889" t="inlineStr">
        <is>
          <t>medium</t>
        </is>
      </c>
      <c r="D889" s="14" t="n">
        <v>45901</v>
      </c>
      <c r="E889" t="inlineStr">
        <is>
          <t>C000402</t>
        </is>
      </c>
      <c r="F889" s="9" t="n">
        <v>10281</v>
      </c>
      <c r="G889" t="inlineStr">
        <is>
          <t>Invoice date falls outside the linked contract</t>
        </is>
      </c>
    </row>
    <row r="890">
      <c r="A890" t="inlineStr">
        <is>
          <t>INV00005925</t>
        </is>
      </c>
      <c r="B890" t="inlineStr">
        <is>
          <t>contract_date_conflict</t>
        </is>
      </c>
      <c r="C890" t="inlineStr">
        <is>
          <t>medium</t>
        </is>
      </c>
      <c r="D890" s="14" t="n">
        <v>45901</v>
      </c>
      <c r="E890" t="inlineStr">
        <is>
          <t>C000421</t>
        </is>
      </c>
      <c r="F890" s="9" t="n">
        <v>232.05</v>
      </c>
      <c r="G890" t="inlineStr">
        <is>
          <t>Invoice date falls outside the linked contract</t>
        </is>
      </c>
    </row>
    <row r="891">
      <c r="A891" t="inlineStr">
        <is>
          <t>INV00006582</t>
        </is>
      </c>
      <c r="B891" t="inlineStr">
        <is>
          <t>contract_date_conflict</t>
        </is>
      </c>
      <c r="C891" t="inlineStr">
        <is>
          <t>medium</t>
        </is>
      </c>
      <c r="D891" s="14" t="n">
        <v>45901</v>
      </c>
      <c r="E891" t="inlineStr">
        <is>
          <t>C000469</t>
        </is>
      </c>
      <c r="F891" s="9" t="n">
        <v>364.65</v>
      </c>
      <c r="G891" t="inlineStr">
        <is>
          <t>Invoice date falls outside the linked contract</t>
        </is>
      </c>
    </row>
    <row r="892">
      <c r="A892" t="inlineStr">
        <is>
          <t>INV00007256</t>
        </is>
      </c>
      <c r="B892" t="inlineStr">
        <is>
          <t>contract_date_conflict</t>
        </is>
      </c>
      <c r="C892" t="inlineStr">
        <is>
          <t>medium</t>
        </is>
      </c>
      <c r="D892" s="14" t="n">
        <v>45901</v>
      </c>
      <c r="E892" t="inlineStr">
        <is>
          <t>C000509</t>
        </is>
      </c>
      <c r="F892" s="9" t="n">
        <v>1350.9</v>
      </c>
      <c r="G892" t="inlineStr">
        <is>
          <t>Invoice date falls outside the linked contract</t>
        </is>
      </c>
    </row>
    <row r="893">
      <c r="A893" t="inlineStr">
        <is>
          <t>INV00009246</t>
        </is>
      </c>
      <c r="B893" t="inlineStr">
        <is>
          <t>contract_date_conflict</t>
        </is>
      </c>
      <c r="C893" t="inlineStr">
        <is>
          <t>medium</t>
        </is>
      </c>
      <c r="D893" s="14" t="n">
        <v>45901</v>
      </c>
      <c r="E893" t="inlineStr">
        <is>
          <t>C000647</t>
        </is>
      </c>
      <c r="F893" s="9" t="n">
        <v>280.8</v>
      </c>
      <c r="G893" t="inlineStr">
        <is>
          <t>Invoice date falls outside the linked contract</t>
        </is>
      </c>
    </row>
    <row r="894">
      <c r="A894" t="inlineStr">
        <is>
          <t>INV00009321</t>
        </is>
      </c>
      <c r="B894" t="inlineStr">
        <is>
          <t>contract_date_conflict</t>
        </is>
      </c>
      <c r="C894" t="inlineStr">
        <is>
          <t>medium</t>
        </is>
      </c>
      <c r="D894" s="14" t="n">
        <v>45901</v>
      </c>
      <c r="E894" t="inlineStr">
        <is>
          <t>C000656</t>
        </is>
      </c>
      <c r="F894" s="9" t="n">
        <v>407.55</v>
      </c>
      <c r="G894" t="inlineStr">
        <is>
          <t>Invoice date falls outside the linked contract</t>
        </is>
      </c>
    </row>
    <row r="895">
      <c r="A895" t="inlineStr">
        <is>
          <t>INV00009382</t>
        </is>
      </c>
      <c r="B895" t="inlineStr">
        <is>
          <t>contract_date_conflict</t>
        </is>
      </c>
      <c r="C895" t="inlineStr">
        <is>
          <t>medium</t>
        </is>
      </c>
      <c r="D895" s="14" t="n">
        <v>45901</v>
      </c>
      <c r="E895" t="inlineStr">
        <is>
          <t>C000660</t>
        </is>
      </c>
      <c r="F895" s="9" t="n">
        <v>7450</v>
      </c>
      <c r="G895" t="inlineStr">
        <is>
          <t>Invoice date falls outside the linked contract</t>
        </is>
      </c>
    </row>
    <row r="896">
      <c r="A896" t="inlineStr">
        <is>
          <t>INV00011340</t>
        </is>
      </c>
      <c r="B896" t="inlineStr">
        <is>
          <t>contract_date_conflict</t>
        </is>
      </c>
      <c r="C896" t="inlineStr">
        <is>
          <t>medium</t>
        </is>
      </c>
      <c r="D896" s="14" t="n">
        <v>45901</v>
      </c>
      <c r="E896" t="inlineStr">
        <is>
          <t>C000795</t>
        </is>
      </c>
      <c r="F896" s="9" t="n">
        <v>1896</v>
      </c>
      <c r="G896" t="inlineStr">
        <is>
          <t>Invoice date falls outside the linked contract</t>
        </is>
      </c>
    </row>
    <row r="897">
      <c r="A897" t="inlineStr">
        <is>
          <t>INV00012829</t>
        </is>
      </c>
      <c r="B897" t="inlineStr">
        <is>
          <t>contract_date_conflict</t>
        </is>
      </c>
      <c r="C897" t="inlineStr">
        <is>
          <t>medium</t>
        </is>
      </c>
      <c r="D897" s="14" t="n">
        <v>45901</v>
      </c>
      <c r="E897" t="inlineStr">
        <is>
          <t>C000904</t>
        </is>
      </c>
      <c r="F897" s="9" t="n">
        <v>1343</v>
      </c>
      <c r="G897" t="inlineStr">
        <is>
          <t>Invoice date falls outside the linked contract</t>
        </is>
      </c>
    </row>
    <row r="898">
      <c r="A898" t="inlineStr">
        <is>
          <t>INV00013727</t>
        </is>
      </c>
      <c r="B898" t="inlineStr">
        <is>
          <t>contract_date_conflict</t>
        </is>
      </c>
      <c r="C898" t="inlineStr">
        <is>
          <t>medium</t>
        </is>
      </c>
      <c r="D898" s="14" t="n">
        <v>45901</v>
      </c>
      <c r="E898" t="inlineStr">
        <is>
          <t>C000971</t>
        </is>
      </c>
      <c r="F898" s="9" t="n">
        <v>491.4</v>
      </c>
      <c r="G898" t="inlineStr">
        <is>
          <t>Invoice date falls outside the linked contract</t>
        </is>
      </c>
    </row>
    <row r="899">
      <c r="A899" t="inlineStr">
        <is>
          <t>INV00014439</t>
        </is>
      </c>
      <c r="B899" t="inlineStr">
        <is>
          <t>contract_date_conflict</t>
        </is>
      </c>
      <c r="C899" t="inlineStr">
        <is>
          <t>medium</t>
        </is>
      </c>
      <c r="D899" s="14" t="n">
        <v>45901</v>
      </c>
      <c r="E899" t="inlineStr">
        <is>
          <t>C001011</t>
        </is>
      </c>
      <c r="F899" s="9" t="n">
        <v>195</v>
      </c>
      <c r="G899" t="inlineStr">
        <is>
          <t>Invoice date falls outside the linked contract</t>
        </is>
      </c>
    </row>
    <row r="900">
      <c r="A900" t="inlineStr">
        <is>
          <t>INV00015040</t>
        </is>
      </c>
      <c r="B900" t="inlineStr">
        <is>
          <t>contract_date_conflict</t>
        </is>
      </c>
      <c r="C900" t="inlineStr">
        <is>
          <t>medium</t>
        </is>
      </c>
      <c r="D900" s="14" t="n">
        <v>45901</v>
      </c>
      <c r="E900" t="inlineStr">
        <is>
          <t>C001051</t>
        </is>
      </c>
      <c r="F900" s="9" t="n">
        <v>234</v>
      </c>
      <c r="G900" t="inlineStr">
        <is>
          <t>Invoice date falls outside the linked contract</t>
        </is>
      </c>
    </row>
    <row r="901">
      <c r="A901" t="inlineStr">
        <is>
          <t>INV00016286</t>
        </is>
      </c>
      <c r="B901" t="inlineStr">
        <is>
          <t>contract_date_conflict</t>
        </is>
      </c>
      <c r="C901" t="inlineStr">
        <is>
          <t>medium</t>
        </is>
      </c>
      <c r="D901" s="14" t="n">
        <v>45901</v>
      </c>
      <c r="E901" t="inlineStr">
        <is>
          <t>C001135</t>
        </is>
      </c>
      <c r="F901" s="9" t="n">
        <v>10132</v>
      </c>
      <c r="G901" t="inlineStr">
        <is>
          <t>Invoice date falls outside the linked contract</t>
        </is>
      </c>
    </row>
    <row r="902">
      <c r="A902" t="inlineStr">
        <is>
          <t>INV00016849</t>
        </is>
      </c>
      <c r="B902" t="inlineStr">
        <is>
          <t>contract_date_conflict</t>
        </is>
      </c>
      <c r="C902" t="inlineStr">
        <is>
          <t>medium</t>
        </is>
      </c>
      <c r="D902" s="14" t="n">
        <v>45901</v>
      </c>
      <c r="E902" t="inlineStr">
        <is>
          <t>C001170</t>
        </is>
      </c>
      <c r="F902" s="9" t="n">
        <v>165.75</v>
      </c>
      <c r="G902" t="inlineStr">
        <is>
          <t>Invoice date falls outside the linked contract</t>
        </is>
      </c>
    </row>
    <row r="903">
      <c r="A903" t="inlineStr">
        <is>
          <t>INV00017001</t>
        </is>
      </c>
      <c r="B903" t="inlineStr">
        <is>
          <t>contract_date_conflict</t>
        </is>
      </c>
      <c r="C903" t="inlineStr">
        <is>
          <t>medium</t>
        </is>
      </c>
      <c r="D903" s="14" t="n">
        <v>45901</v>
      </c>
      <c r="E903" t="inlineStr">
        <is>
          <t>C001180</t>
        </is>
      </c>
      <c r="F903" s="9" t="n">
        <v>2449</v>
      </c>
      <c r="G903" t="inlineStr">
        <is>
          <t>Invoice date falls outside the linked contract</t>
        </is>
      </c>
    </row>
    <row r="904">
      <c r="A904" t="inlineStr">
        <is>
          <t>INV00000142</t>
        </is>
      </c>
      <c r="B904" t="inlineStr">
        <is>
          <t>contract_date_conflict</t>
        </is>
      </c>
      <c r="C904" t="inlineStr">
        <is>
          <t>medium</t>
        </is>
      </c>
      <c r="D904" s="14" t="n">
        <v>45931</v>
      </c>
      <c r="E904" t="inlineStr">
        <is>
          <t>C000014</t>
        </is>
      </c>
      <c r="F904" s="9" t="n">
        <v>185.25</v>
      </c>
      <c r="G904" t="inlineStr">
        <is>
          <t>Invoice date falls outside the linked contract</t>
        </is>
      </c>
    </row>
    <row r="905">
      <c r="A905" t="inlineStr">
        <is>
          <t>INV00000972</t>
        </is>
      </c>
      <c r="B905" t="inlineStr">
        <is>
          <t>contract_date_conflict</t>
        </is>
      </c>
      <c r="C905" t="inlineStr">
        <is>
          <t>medium</t>
        </is>
      </c>
      <c r="D905" s="14" t="n">
        <v>45931</v>
      </c>
      <c r="E905" t="inlineStr">
        <is>
          <t>C000063</t>
        </is>
      </c>
      <c r="F905" s="9" t="n">
        <v>165.75</v>
      </c>
      <c r="G905" t="inlineStr">
        <is>
          <t>Invoice date falls outside the linked contract</t>
        </is>
      </c>
    </row>
    <row r="906">
      <c r="A906" t="inlineStr">
        <is>
          <t>INV00001032</t>
        </is>
      </c>
      <c r="B906" t="inlineStr">
        <is>
          <t>contract_date_conflict</t>
        </is>
      </c>
      <c r="C906" t="inlineStr">
        <is>
          <t>medium</t>
        </is>
      </c>
      <c r="D906" s="14" t="n">
        <v>45931</v>
      </c>
      <c r="E906" t="inlineStr">
        <is>
          <t>C000069</t>
        </is>
      </c>
      <c r="F906" s="9" t="n">
        <v>1350.9</v>
      </c>
      <c r="G906" t="inlineStr">
        <is>
          <t>Invoice date falls outside the linked contract</t>
        </is>
      </c>
    </row>
    <row r="907">
      <c r="A907" t="inlineStr">
        <is>
          <t>INV00001089</t>
        </is>
      </c>
      <c r="B907" t="inlineStr">
        <is>
          <t>contract_date_conflict</t>
        </is>
      </c>
      <c r="C907" t="inlineStr">
        <is>
          <t>medium</t>
        </is>
      </c>
      <c r="D907" s="14" t="n">
        <v>45931</v>
      </c>
      <c r="E907" t="inlineStr">
        <is>
          <t>C000072</t>
        </is>
      </c>
      <c r="F907" s="9" t="n">
        <v>8046</v>
      </c>
      <c r="G907" t="inlineStr">
        <is>
          <t>Invoice date falls outside the linked contract</t>
        </is>
      </c>
    </row>
    <row r="908">
      <c r="A908" t="inlineStr">
        <is>
          <t>INV00001289</t>
        </is>
      </c>
      <c r="B908" t="inlineStr">
        <is>
          <t>contract_date_conflict</t>
        </is>
      </c>
      <c r="C908" t="inlineStr">
        <is>
          <t>medium</t>
        </is>
      </c>
      <c r="D908" s="14" t="n">
        <v>45931</v>
      </c>
      <c r="E908" t="inlineStr">
        <is>
          <t>C000085</t>
        </is>
      </c>
      <c r="F908" s="9" t="n">
        <v>8046</v>
      </c>
      <c r="G908" t="inlineStr">
        <is>
          <t>Invoice date falls outside the linked contract</t>
        </is>
      </c>
    </row>
    <row r="909">
      <c r="A909" t="inlineStr">
        <is>
          <t>INV00003024</t>
        </is>
      </c>
      <c r="B909" t="inlineStr">
        <is>
          <t>contract_date_conflict</t>
        </is>
      </c>
      <c r="C909" t="inlineStr">
        <is>
          <t>medium</t>
        </is>
      </c>
      <c r="D909" s="14" t="n">
        <v>45931</v>
      </c>
      <c r="E909" t="inlineStr">
        <is>
          <t>C000221</t>
        </is>
      </c>
      <c r="F909" s="9" t="n">
        <v>234</v>
      </c>
      <c r="G909" t="inlineStr">
        <is>
          <t>Invoice date falls outside the linked contract</t>
        </is>
      </c>
    </row>
    <row r="910">
      <c r="A910" t="inlineStr">
        <is>
          <t>INV00003355</t>
        </is>
      </c>
      <c r="B910" t="inlineStr">
        <is>
          <t>contract_date_conflict</t>
        </is>
      </c>
      <c r="C910" t="inlineStr">
        <is>
          <t>medium</t>
        </is>
      </c>
      <c r="D910" s="14" t="n">
        <v>45931</v>
      </c>
      <c r="E910" t="inlineStr">
        <is>
          <t>C000243</t>
        </is>
      </c>
      <c r="F910" s="9" t="n">
        <v>1200.8</v>
      </c>
      <c r="G910" t="inlineStr">
        <is>
          <t>Invoice date falls outside the linked contract</t>
        </is>
      </c>
    </row>
    <row r="911">
      <c r="A911" t="inlineStr">
        <is>
          <t>INV00003559</t>
        </is>
      </c>
      <c r="B911" t="inlineStr">
        <is>
          <t>contract_date_conflict</t>
        </is>
      </c>
      <c r="C911" t="inlineStr">
        <is>
          <t>medium</t>
        </is>
      </c>
      <c r="D911" s="14" t="n">
        <v>45931</v>
      </c>
      <c r="E911" t="inlineStr">
        <is>
          <t>C000259</t>
        </is>
      </c>
      <c r="F911" s="9" t="n">
        <v>195</v>
      </c>
      <c r="G911" t="inlineStr">
        <is>
          <t>Invoice date falls outside the linked contract</t>
        </is>
      </c>
    </row>
    <row r="912">
      <c r="A912" t="inlineStr">
        <is>
          <t>INV00003562</t>
        </is>
      </c>
      <c r="B912" t="inlineStr">
        <is>
          <t>contract_date_conflict</t>
        </is>
      </c>
      <c r="C912" t="inlineStr">
        <is>
          <t>medium</t>
        </is>
      </c>
      <c r="D912" s="14" t="n">
        <v>45931</v>
      </c>
      <c r="E912" t="inlineStr">
        <is>
          <t>C000260</t>
        </is>
      </c>
      <c r="F912" s="9" t="n">
        <v>7077.5</v>
      </c>
      <c r="G912" t="inlineStr">
        <is>
          <t>Invoice date falls outside the linked contract</t>
        </is>
      </c>
    </row>
    <row r="913">
      <c r="A913" t="inlineStr">
        <is>
          <t>INV00003662</t>
        </is>
      </c>
      <c r="B913" t="inlineStr">
        <is>
          <t>contract_date_conflict</t>
        </is>
      </c>
      <c r="C913" t="inlineStr">
        <is>
          <t>medium</t>
        </is>
      </c>
      <c r="D913" s="14" t="n">
        <v>45931</v>
      </c>
      <c r="E913" t="inlineStr">
        <is>
          <t>C000269</t>
        </is>
      </c>
      <c r="F913" s="9" t="n">
        <v>175.5</v>
      </c>
      <c r="G913" t="inlineStr">
        <is>
          <t>Invoice date falls outside the linked contract</t>
        </is>
      </c>
    </row>
    <row r="914">
      <c r="A914" t="inlineStr">
        <is>
          <t>INV00003967</t>
        </is>
      </c>
      <c r="B914" t="inlineStr">
        <is>
          <t>contract_date_conflict</t>
        </is>
      </c>
      <c r="C914" t="inlineStr">
        <is>
          <t>medium</t>
        </is>
      </c>
      <c r="D914" s="14" t="n">
        <v>45931</v>
      </c>
      <c r="E914" t="inlineStr">
        <is>
          <t>C000294</t>
        </is>
      </c>
      <c r="F914" s="9" t="n">
        <v>232.05</v>
      </c>
      <c r="G914" t="inlineStr">
        <is>
          <t>Invoice date falls outside the linked contract</t>
        </is>
      </c>
    </row>
    <row r="915">
      <c r="A915" t="inlineStr">
        <is>
          <t>INV00004251</t>
        </is>
      </c>
      <c r="B915" t="inlineStr">
        <is>
          <t>contract_date_conflict</t>
        </is>
      </c>
      <c r="C915" t="inlineStr">
        <is>
          <t>medium</t>
        </is>
      </c>
      <c r="D915" s="14" t="n">
        <v>45931</v>
      </c>
      <c r="E915" t="inlineStr">
        <is>
          <t>C000318</t>
        </is>
      </c>
      <c r="F915" s="9" t="n">
        <v>195</v>
      </c>
      <c r="G915" t="inlineStr">
        <is>
          <t>Invoice date falls outside the linked contract</t>
        </is>
      </c>
    </row>
    <row r="916">
      <c r="A916" t="inlineStr">
        <is>
          <t>INV00006119</t>
        </is>
      </c>
      <c r="B916" t="inlineStr">
        <is>
          <t>contract_date_conflict</t>
        </is>
      </c>
      <c r="C916" t="inlineStr">
        <is>
          <t>medium</t>
        </is>
      </c>
      <c r="D916" s="14" t="n">
        <v>45931</v>
      </c>
      <c r="E916" t="inlineStr">
        <is>
          <t>C000435</t>
        </is>
      </c>
      <c r="F916" s="9" t="n">
        <v>195</v>
      </c>
      <c r="G916" t="inlineStr">
        <is>
          <t>Invoice date falls outside the linked contract</t>
        </is>
      </c>
    </row>
    <row r="917">
      <c r="A917" t="inlineStr">
        <is>
          <t>INV00006134</t>
        </is>
      </c>
      <c r="B917" t="inlineStr">
        <is>
          <t>contract_date_conflict</t>
        </is>
      </c>
      <c r="C917" t="inlineStr">
        <is>
          <t>medium</t>
        </is>
      </c>
      <c r="D917" s="14" t="n">
        <v>45931</v>
      </c>
      <c r="E917" t="inlineStr">
        <is>
          <t>C000437</t>
        </is>
      </c>
      <c r="F917" s="9" t="n">
        <v>2133</v>
      </c>
      <c r="G917" t="inlineStr">
        <is>
          <t>Invoice date falls outside the linked contract</t>
        </is>
      </c>
    </row>
    <row r="918">
      <c r="A918" t="inlineStr">
        <is>
          <t>INV00007081</t>
        </is>
      </c>
      <c r="B918" t="inlineStr">
        <is>
          <t>contract_date_conflict</t>
        </is>
      </c>
      <c r="C918" t="inlineStr">
        <is>
          <t>medium</t>
        </is>
      </c>
      <c r="D918" s="14" t="n">
        <v>45931</v>
      </c>
      <c r="E918" t="inlineStr">
        <is>
          <t>C000498</t>
        </is>
      </c>
      <c r="F918" s="9" t="n">
        <v>1493.1</v>
      </c>
      <c r="G918" t="inlineStr">
        <is>
          <t>Invoice date falls outside the linked contract</t>
        </is>
      </c>
    </row>
    <row r="919">
      <c r="A919" t="inlineStr">
        <is>
          <t>INV00007260</t>
        </is>
      </c>
      <c r="B919" t="inlineStr">
        <is>
          <t>contract_date_conflict</t>
        </is>
      </c>
      <c r="C919" t="inlineStr">
        <is>
          <t>medium</t>
        </is>
      </c>
      <c r="D919" s="14" t="n">
        <v>45931</v>
      </c>
      <c r="E919" t="inlineStr">
        <is>
          <t>C000511</t>
        </is>
      </c>
      <c r="F919" s="9" t="n">
        <v>468</v>
      </c>
      <c r="G919" t="inlineStr">
        <is>
          <t>Invoice date falls outside the linked contract</t>
        </is>
      </c>
    </row>
    <row r="920">
      <c r="A920" t="inlineStr">
        <is>
          <t>INV00007399</t>
        </is>
      </c>
      <c r="B920" t="inlineStr">
        <is>
          <t>contract_date_conflict</t>
        </is>
      </c>
      <c r="C920" t="inlineStr">
        <is>
          <t>medium</t>
        </is>
      </c>
      <c r="D920" s="14" t="n">
        <v>45931</v>
      </c>
      <c r="E920" t="inlineStr">
        <is>
          <t>C000519</t>
        </is>
      </c>
      <c r="F920" s="9" t="n">
        <v>1817</v>
      </c>
      <c r="G920" t="inlineStr">
        <is>
          <t>Invoice date falls outside the linked contract</t>
        </is>
      </c>
    </row>
    <row r="921">
      <c r="A921" t="inlineStr">
        <is>
          <t>INV00007585</t>
        </is>
      </c>
      <c r="B921" t="inlineStr">
        <is>
          <t>contract_date_conflict</t>
        </is>
      </c>
      <c r="C921" t="inlineStr">
        <is>
          <t>medium</t>
        </is>
      </c>
      <c r="D921" s="14" t="n">
        <v>45931</v>
      </c>
      <c r="E921" t="inlineStr">
        <is>
          <t>C000531</t>
        </is>
      </c>
      <c r="F921" s="9" t="n">
        <v>234</v>
      </c>
      <c r="G921" t="inlineStr">
        <is>
          <t>Invoice date falls outside the linked contract</t>
        </is>
      </c>
    </row>
    <row r="922">
      <c r="A922" t="inlineStr">
        <is>
          <t>INV00007808</t>
        </is>
      </c>
      <c r="B922" t="inlineStr">
        <is>
          <t>contract_date_conflict</t>
        </is>
      </c>
      <c r="C922" t="inlineStr">
        <is>
          <t>medium</t>
        </is>
      </c>
      <c r="D922" s="14" t="n">
        <v>45931</v>
      </c>
      <c r="E922" t="inlineStr">
        <is>
          <t>C000553</t>
        </is>
      </c>
      <c r="F922" s="9" t="n">
        <v>1896</v>
      </c>
      <c r="G922" t="inlineStr">
        <is>
          <t>Invoice date falls outside the linked contract</t>
        </is>
      </c>
    </row>
    <row r="923">
      <c r="A923" t="inlineStr">
        <is>
          <t>INV00008558</t>
        </is>
      </c>
      <c r="B923" t="inlineStr">
        <is>
          <t>contract_date_conflict</t>
        </is>
      </c>
      <c r="C923" t="inlineStr">
        <is>
          <t>medium</t>
        </is>
      </c>
      <c r="D923" s="14" t="n">
        <v>45931</v>
      </c>
      <c r="E923" t="inlineStr">
        <is>
          <t>C000604</t>
        </is>
      </c>
      <c r="F923" s="9" t="n">
        <v>421.2</v>
      </c>
      <c r="G923" t="inlineStr">
        <is>
          <t>Invoice date falls outside the linked contract</t>
        </is>
      </c>
    </row>
    <row r="924">
      <c r="A924" t="inlineStr">
        <is>
          <t>INV00009237</t>
        </is>
      </c>
      <c r="B924" t="inlineStr">
        <is>
          <t>contract_date_conflict</t>
        </is>
      </c>
      <c r="C924" t="inlineStr">
        <is>
          <t>medium</t>
        </is>
      </c>
      <c r="D924" s="14" t="n">
        <v>45931</v>
      </c>
      <c r="E924" t="inlineStr">
        <is>
          <t>C000645</t>
        </is>
      </c>
      <c r="F924" s="9" t="n">
        <v>195</v>
      </c>
      <c r="G924" t="inlineStr">
        <is>
          <t>Invoice date falls outside the linked contract</t>
        </is>
      </c>
    </row>
    <row r="925">
      <c r="A925" t="inlineStr">
        <is>
          <t>INV00009843</t>
        </is>
      </c>
      <c r="B925" t="inlineStr">
        <is>
          <t>contract_date_conflict</t>
        </is>
      </c>
      <c r="C925" t="inlineStr">
        <is>
          <t>medium</t>
        </is>
      </c>
      <c r="D925" s="14" t="n">
        <v>45931</v>
      </c>
      <c r="E925" t="inlineStr">
        <is>
          <t>C000694</t>
        </is>
      </c>
      <c r="F925" s="9" t="n">
        <v>1580</v>
      </c>
      <c r="G925" t="inlineStr">
        <is>
          <t>Invoice date falls outside the linked contract</t>
        </is>
      </c>
    </row>
    <row r="926">
      <c r="A926" t="inlineStr">
        <is>
          <t>INV00011138</t>
        </is>
      </c>
      <c r="B926" t="inlineStr">
        <is>
          <t>contract_date_conflict</t>
        </is>
      </c>
      <c r="C926" t="inlineStr">
        <is>
          <t>medium</t>
        </is>
      </c>
      <c r="D926" s="14" t="n">
        <v>45931</v>
      </c>
      <c r="E926" t="inlineStr">
        <is>
          <t>C000782</t>
        </is>
      </c>
      <c r="F926" s="9" t="n">
        <v>222.3</v>
      </c>
      <c r="G926" t="inlineStr">
        <is>
          <t>Invoice date falls outside the linked contract</t>
        </is>
      </c>
    </row>
    <row r="927">
      <c r="A927" t="inlineStr">
        <is>
          <t>INV00012320</t>
        </is>
      </c>
      <c r="B927" t="inlineStr">
        <is>
          <t>contract_date_conflict</t>
        </is>
      </c>
      <c r="C927" t="inlineStr">
        <is>
          <t>medium</t>
        </is>
      </c>
      <c r="D927" s="14" t="n">
        <v>45931</v>
      </c>
      <c r="E927" t="inlineStr">
        <is>
          <t>C000869</t>
        </is>
      </c>
      <c r="F927" s="9" t="n">
        <v>333.45</v>
      </c>
      <c r="G927" t="inlineStr">
        <is>
          <t>Invoice date falls outside the linked contract</t>
        </is>
      </c>
    </row>
    <row r="928">
      <c r="A928" t="inlineStr">
        <is>
          <t>INV00012776</t>
        </is>
      </c>
      <c r="B928" t="inlineStr">
        <is>
          <t>contract_date_conflict</t>
        </is>
      </c>
      <c r="C928" t="inlineStr">
        <is>
          <t>medium</t>
        </is>
      </c>
      <c r="D928" s="14" t="n">
        <v>45931</v>
      </c>
      <c r="E928" t="inlineStr">
        <is>
          <t>C000900</t>
        </is>
      </c>
      <c r="F928" s="9" t="n">
        <v>2449</v>
      </c>
      <c r="G928" t="inlineStr">
        <is>
          <t>Invoice date falls outside the linked contract</t>
        </is>
      </c>
    </row>
    <row r="929">
      <c r="A929" t="inlineStr">
        <is>
          <t>INV00013367</t>
        </is>
      </c>
      <c r="B929" t="inlineStr">
        <is>
          <t>contract_date_conflict</t>
        </is>
      </c>
      <c r="C929" t="inlineStr">
        <is>
          <t>medium</t>
        </is>
      </c>
      <c r="D929" s="14" t="n">
        <v>45931</v>
      </c>
      <c r="E929" t="inlineStr">
        <is>
          <t>C000941</t>
        </is>
      </c>
      <c r="F929" s="9" t="n">
        <v>2081.65</v>
      </c>
      <c r="G929" t="inlineStr">
        <is>
          <t>Invoice date falls outside the linked contract</t>
        </is>
      </c>
    </row>
    <row r="930">
      <c r="A930" t="inlineStr">
        <is>
          <t>INV00013384</t>
        </is>
      </c>
      <c r="B930" t="inlineStr">
        <is>
          <t>contract_date_conflict</t>
        </is>
      </c>
      <c r="C930" t="inlineStr">
        <is>
          <t>medium</t>
        </is>
      </c>
      <c r="D930" s="14" t="n">
        <v>45931</v>
      </c>
      <c r="E930" t="inlineStr">
        <is>
          <t>C000946</t>
        </is>
      </c>
      <c r="F930" s="9" t="n">
        <v>8984.700000000001</v>
      </c>
      <c r="G930" t="inlineStr">
        <is>
          <t>Invoice date falls outside the linked contract</t>
        </is>
      </c>
    </row>
    <row r="931">
      <c r="A931" t="inlineStr">
        <is>
          <t>INV00014798</t>
        </is>
      </c>
      <c r="B931" t="inlineStr">
        <is>
          <t>contract_date_conflict</t>
        </is>
      </c>
      <c r="C931" t="inlineStr">
        <is>
          <t>medium</t>
        </is>
      </c>
      <c r="D931" s="14" t="n">
        <v>45931</v>
      </c>
      <c r="E931" t="inlineStr">
        <is>
          <t>C001036</t>
        </is>
      </c>
      <c r="F931" s="9" t="n">
        <v>9908.5</v>
      </c>
      <c r="G931" t="inlineStr">
        <is>
          <t>Invoice date falls outside the linked contract</t>
        </is>
      </c>
    </row>
    <row r="932">
      <c r="A932" t="inlineStr">
        <is>
          <t>INV00015998</t>
        </is>
      </c>
      <c r="B932" t="inlineStr">
        <is>
          <t>contract_date_conflict</t>
        </is>
      </c>
      <c r="C932" t="inlineStr">
        <is>
          <t>medium</t>
        </is>
      </c>
      <c r="D932" s="14" t="n">
        <v>45931</v>
      </c>
      <c r="E932" t="inlineStr">
        <is>
          <t>C001114</t>
        </is>
      </c>
      <c r="F932" s="9" t="n">
        <v>663</v>
      </c>
      <c r="G932" t="inlineStr">
        <is>
          <t>Invoice date falls outside the linked contract</t>
        </is>
      </c>
    </row>
    <row r="933">
      <c r="A933" t="inlineStr">
        <is>
          <t>INV00016453</t>
        </is>
      </c>
      <c r="B933" t="inlineStr">
        <is>
          <t>contract_date_conflict</t>
        </is>
      </c>
      <c r="C933" t="inlineStr">
        <is>
          <t>medium</t>
        </is>
      </c>
      <c r="D933" s="14" t="n">
        <v>45931</v>
      </c>
      <c r="E933" t="inlineStr">
        <is>
          <t>C001147</t>
        </is>
      </c>
      <c r="F933" s="9" t="n">
        <v>234</v>
      </c>
      <c r="G933" t="inlineStr">
        <is>
          <t>Invoice date falls outside the linked contract</t>
        </is>
      </c>
    </row>
    <row r="934">
      <c r="A934" t="inlineStr">
        <is>
          <t>INV00001822</t>
        </is>
      </c>
      <c r="B934" t="inlineStr">
        <is>
          <t>contract_date_conflict</t>
        </is>
      </c>
      <c r="C934" t="inlineStr">
        <is>
          <t>medium</t>
        </is>
      </c>
      <c r="D934" s="14" t="n">
        <v>45962</v>
      </c>
      <c r="E934" t="inlineStr">
        <is>
          <t>C000122</t>
        </is>
      </c>
      <c r="F934" s="9" t="n">
        <v>1817</v>
      </c>
      <c r="G934" t="inlineStr">
        <is>
          <t>Invoice date falls outside the linked contract</t>
        </is>
      </c>
    </row>
    <row r="935">
      <c r="A935" t="inlineStr">
        <is>
          <t>INV00001955</t>
        </is>
      </c>
      <c r="B935" t="inlineStr">
        <is>
          <t>contract_date_conflict</t>
        </is>
      </c>
      <c r="C935" t="inlineStr">
        <is>
          <t>medium</t>
        </is>
      </c>
      <c r="D935" s="14" t="n">
        <v>45962</v>
      </c>
      <c r="E935" t="inlineStr">
        <is>
          <t>C000133</t>
        </is>
      </c>
      <c r="F935" s="9" t="n">
        <v>1066.5</v>
      </c>
      <c r="G935" t="inlineStr">
        <is>
          <t>Invoice date falls outside the linked contract</t>
        </is>
      </c>
    </row>
    <row r="936">
      <c r="A936" t="inlineStr">
        <is>
          <t>INV00002537</t>
        </is>
      </c>
      <c r="B936" t="inlineStr">
        <is>
          <t>contract_date_conflict</t>
        </is>
      </c>
      <c r="C936" t="inlineStr">
        <is>
          <t>medium</t>
        </is>
      </c>
      <c r="D936" s="14" t="n">
        <v>45962</v>
      </c>
      <c r="E936" t="inlineStr">
        <is>
          <t>C000178</t>
        </is>
      </c>
      <c r="F936" s="9" t="n">
        <v>1777.5</v>
      </c>
      <c r="G936" t="inlineStr">
        <is>
          <t>Invoice date falls outside the linked contract</t>
        </is>
      </c>
    </row>
    <row r="937">
      <c r="A937" t="inlineStr">
        <is>
          <t>INV00002575</t>
        </is>
      </c>
      <c r="B937" t="inlineStr">
        <is>
          <t>contract_date_conflict</t>
        </is>
      </c>
      <c r="C937" t="inlineStr">
        <is>
          <t>medium</t>
        </is>
      </c>
      <c r="D937" s="14" t="n">
        <v>45962</v>
      </c>
      <c r="E937" t="inlineStr">
        <is>
          <t>C000183</t>
        </is>
      </c>
      <c r="F937" s="9" t="n">
        <v>273</v>
      </c>
      <c r="G937" t="inlineStr">
        <is>
          <t>Invoice date falls outside the linked contract</t>
        </is>
      </c>
    </row>
    <row r="938">
      <c r="A938" t="inlineStr">
        <is>
          <t>INV00003414</t>
        </is>
      </c>
      <c r="B938" t="inlineStr">
        <is>
          <t>contract_date_conflict</t>
        </is>
      </c>
      <c r="C938" t="inlineStr">
        <is>
          <t>medium</t>
        </is>
      </c>
      <c r="D938" s="14" t="n">
        <v>45962</v>
      </c>
      <c r="E938" t="inlineStr">
        <is>
          <t>C000247</t>
        </is>
      </c>
      <c r="F938" s="9" t="n">
        <v>273</v>
      </c>
      <c r="G938" t="inlineStr">
        <is>
          <t>Invoice date falls outside the linked contract</t>
        </is>
      </c>
    </row>
    <row r="939">
      <c r="A939" t="inlineStr">
        <is>
          <t>INV00004065</t>
        </is>
      </c>
      <c r="B939" t="inlineStr">
        <is>
          <t>contract_date_conflict</t>
        </is>
      </c>
      <c r="C939" t="inlineStr">
        <is>
          <t>medium</t>
        </is>
      </c>
      <c r="D939" s="14" t="n">
        <v>45962</v>
      </c>
      <c r="E939" t="inlineStr">
        <is>
          <t>C000301</t>
        </is>
      </c>
      <c r="F939" s="9" t="n">
        <v>234</v>
      </c>
      <c r="G939" t="inlineStr">
        <is>
          <t>Invoice date falls outside the linked contract</t>
        </is>
      </c>
    </row>
    <row r="940">
      <c r="A940" t="inlineStr">
        <is>
          <t>INV00004193</t>
        </is>
      </c>
      <c r="B940" t="inlineStr">
        <is>
          <t>contract_date_conflict</t>
        </is>
      </c>
      <c r="C940" t="inlineStr">
        <is>
          <t>medium</t>
        </is>
      </c>
      <c r="D940" s="14" t="n">
        <v>45962</v>
      </c>
      <c r="E940" t="inlineStr">
        <is>
          <t>C000313</t>
        </is>
      </c>
      <c r="F940" s="9" t="n">
        <v>195</v>
      </c>
      <c r="G940" t="inlineStr">
        <is>
          <t>Invoice date falls outside the linked contract</t>
        </is>
      </c>
    </row>
    <row r="941">
      <c r="A941" t="inlineStr">
        <is>
          <t>INV00005576</t>
        </is>
      </c>
      <c r="B941" t="inlineStr">
        <is>
          <t>contract_date_conflict</t>
        </is>
      </c>
      <c r="C941" t="inlineStr">
        <is>
          <t>medium</t>
        </is>
      </c>
      <c r="D941" s="14" t="n">
        <v>45962</v>
      </c>
      <c r="E941" t="inlineStr">
        <is>
          <t>C000396</t>
        </is>
      </c>
      <c r="F941" s="9" t="n">
        <v>195</v>
      </c>
      <c r="G941" t="inlineStr">
        <is>
          <t>Invoice date falls outside the linked contract</t>
        </is>
      </c>
    </row>
    <row r="942">
      <c r="A942" t="inlineStr">
        <is>
          <t>INV00005688</t>
        </is>
      </c>
      <c r="B942" t="inlineStr">
        <is>
          <t>contract_date_conflict</t>
        </is>
      </c>
      <c r="C942" t="inlineStr">
        <is>
          <t>medium</t>
        </is>
      </c>
      <c r="D942" s="14" t="n">
        <v>45962</v>
      </c>
      <c r="E942" t="inlineStr">
        <is>
          <t>C000405</t>
        </is>
      </c>
      <c r="F942" s="9" t="n">
        <v>259.35</v>
      </c>
      <c r="G942" t="inlineStr">
        <is>
          <t>Invoice date falls outside the linked contract</t>
        </is>
      </c>
    </row>
    <row r="943">
      <c r="A943" t="inlineStr">
        <is>
          <t>INV00006723</t>
        </is>
      </c>
      <c r="B943" t="inlineStr">
        <is>
          <t>contract_date_conflict</t>
        </is>
      </c>
      <c r="C943" t="inlineStr">
        <is>
          <t>medium</t>
        </is>
      </c>
      <c r="D943" s="14" t="n">
        <v>45962</v>
      </c>
      <c r="E943" t="inlineStr">
        <is>
          <t>C000479</t>
        </is>
      </c>
      <c r="F943" s="9" t="n">
        <v>1074.4</v>
      </c>
      <c r="G943" t="inlineStr">
        <is>
          <t>Invoice date falls outside the linked contract</t>
        </is>
      </c>
    </row>
    <row r="944">
      <c r="A944" t="inlineStr">
        <is>
          <t>INV00006950</t>
        </is>
      </c>
      <c r="B944" t="inlineStr">
        <is>
          <t>contract_date_conflict</t>
        </is>
      </c>
      <c r="C944" t="inlineStr">
        <is>
          <t>medium</t>
        </is>
      </c>
      <c r="D944" s="14" t="n">
        <v>45962</v>
      </c>
      <c r="E944" t="inlineStr">
        <is>
          <t>C000491</t>
        </is>
      </c>
      <c r="F944" s="9" t="n">
        <v>16688</v>
      </c>
      <c r="G944" t="inlineStr">
        <is>
          <t>Invoice date falls outside the linked contract</t>
        </is>
      </c>
    </row>
    <row r="945">
      <c r="A945" t="inlineStr">
        <is>
          <t>INV00009235</t>
        </is>
      </c>
      <c r="B945" t="inlineStr">
        <is>
          <t>contract_date_conflict</t>
        </is>
      </c>
      <c r="C945" t="inlineStr">
        <is>
          <t>medium</t>
        </is>
      </c>
      <c r="D945" s="14" t="n">
        <v>45962</v>
      </c>
      <c r="E945" t="inlineStr">
        <is>
          <t>C000644</t>
        </is>
      </c>
      <c r="F945" s="9" t="n">
        <v>1279.8</v>
      </c>
      <c r="G945" t="inlineStr">
        <is>
          <t>Invoice date falls outside the linked contract</t>
        </is>
      </c>
    </row>
    <row r="946">
      <c r="A946" t="inlineStr">
        <is>
          <t>INV00009761</t>
        </is>
      </c>
      <c r="B946" t="inlineStr">
        <is>
          <t>contract_date_conflict</t>
        </is>
      </c>
      <c r="C946" t="inlineStr">
        <is>
          <t>medium</t>
        </is>
      </c>
      <c r="D946" s="14" t="n">
        <v>45962</v>
      </c>
      <c r="E946" t="inlineStr">
        <is>
          <t>C000687</t>
        </is>
      </c>
      <c r="F946" s="9" t="n">
        <v>429</v>
      </c>
      <c r="G946" t="inlineStr">
        <is>
          <t>Invoice date falls outside the linked contract</t>
        </is>
      </c>
    </row>
    <row r="947">
      <c r="A947" t="inlineStr">
        <is>
          <t>INV00011408</t>
        </is>
      </c>
      <c r="B947" t="inlineStr">
        <is>
          <t>contract_date_conflict</t>
        </is>
      </c>
      <c r="C947" t="inlineStr">
        <is>
          <t>medium</t>
        </is>
      </c>
      <c r="D947" s="14" t="n">
        <v>45962</v>
      </c>
      <c r="E947" t="inlineStr">
        <is>
          <t>C000800</t>
        </is>
      </c>
      <c r="F947" s="9" t="n">
        <v>312</v>
      </c>
      <c r="G947" t="inlineStr">
        <is>
          <t>Invoice date falls outside the linked contract</t>
        </is>
      </c>
    </row>
    <row r="948">
      <c r="A948" t="inlineStr">
        <is>
          <t>INV00011649</t>
        </is>
      </c>
      <c r="B948" t="inlineStr">
        <is>
          <t>contract_date_conflict</t>
        </is>
      </c>
      <c r="C948" t="inlineStr">
        <is>
          <t>medium</t>
        </is>
      </c>
      <c r="D948" s="14" t="n">
        <v>45962</v>
      </c>
      <c r="E948" t="inlineStr">
        <is>
          <t>C000820</t>
        </is>
      </c>
      <c r="F948" s="9" t="n">
        <v>195</v>
      </c>
      <c r="G948" t="inlineStr">
        <is>
          <t>Invoice date falls outside the linked contract</t>
        </is>
      </c>
    </row>
    <row r="949">
      <c r="A949" t="inlineStr">
        <is>
          <t>INV00014515</t>
        </is>
      </c>
      <c r="B949" t="inlineStr">
        <is>
          <t>contract_date_conflict</t>
        </is>
      </c>
      <c r="C949" t="inlineStr">
        <is>
          <t>medium</t>
        </is>
      </c>
      <c r="D949" s="14" t="n">
        <v>45962</v>
      </c>
      <c r="E949" t="inlineStr">
        <is>
          <t>C001016</t>
        </is>
      </c>
      <c r="F949" s="9" t="n">
        <v>9983</v>
      </c>
      <c r="G949" t="inlineStr">
        <is>
          <t>Invoice date falls outside the linked contract</t>
        </is>
      </c>
    </row>
    <row r="950">
      <c r="A950" t="inlineStr">
        <is>
          <t>INV00015616</t>
        </is>
      </c>
      <c r="B950" t="inlineStr">
        <is>
          <t>contract_date_conflict</t>
        </is>
      </c>
      <c r="C950" t="inlineStr">
        <is>
          <t>medium</t>
        </is>
      </c>
      <c r="D950" s="14" t="n">
        <v>45962</v>
      </c>
      <c r="E950" t="inlineStr">
        <is>
          <t>C001084</t>
        </is>
      </c>
      <c r="F950" s="9" t="n">
        <v>2528</v>
      </c>
      <c r="G950" t="inlineStr">
        <is>
          <t>Invoice date falls outside the linked contract</t>
        </is>
      </c>
    </row>
    <row r="951">
      <c r="A951" t="inlineStr">
        <is>
          <t>INV00015981</t>
        </is>
      </c>
      <c r="B951" t="inlineStr">
        <is>
          <t>contract_date_conflict</t>
        </is>
      </c>
      <c r="C951" t="inlineStr">
        <is>
          <t>medium</t>
        </is>
      </c>
      <c r="D951" s="14" t="n">
        <v>45962</v>
      </c>
      <c r="E951" t="inlineStr">
        <is>
          <t>C001112</t>
        </is>
      </c>
      <c r="F951" s="9" t="n">
        <v>1343</v>
      </c>
      <c r="G951" t="inlineStr">
        <is>
          <t>Invoice date falls outside the linked contract</t>
        </is>
      </c>
    </row>
    <row r="952">
      <c r="A952" t="inlineStr">
        <is>
          <t>INV00000917</t>
        </is>
      </c>
      <c r="B952" t="inlineStr">
        <is>
          <t>contract_date_conflict</t>
        </is>
      </c>
      <c r="C952" t="inlineStr">
        <is>
          <t>medium</t>
        </is>
      </c>
      <c r="D952" s="14" t="n">
        <v>45992</v>
      </c>
      <c r="E952" t="inlineStr">
        <is>
          <t>C000058</t>
        </is>
      </c>
      <c r="F952" s="9" t="n">
        <v>1919.7</v>
      </c>
      <c r="G952" t="inlineStr">
        <is>
          <t>Invoice date falls outside the linked contract</t>
        </is>
      </c>
    </row>
    <row r="953">
      <c r="A953" t="inlineStr">
        <is>
          <t>INV00001549</t>
        </is>
      </c>
      <c r="B953" t="inlineStr">
        <is>
          <t>contract_date_conflict</t>
        </is>
      </c>
      <c r="C953" t="inlineStr">
        <is>
          <t>medium</t>
        </is>
      </c>
      <c r="D953" s="14" t="n">
        <v>45992</v>
      </c>
      <c r="E953" t="inlineStr">
        <is>
          <t>C000105</t>
        </is>
      </c>
      <c r="F953" s="9" t="n">
        <v>1501</v>
      </c>
      <c r="G953" t="inlineStr">
        <is>
          <t>Invoice date falls outside the linked contract</t>
        </is>
      </c>
    </row>
    <row r="954">
      <c r="A954" t="inlineStr">
        <is>
          <t>INV00001632</t>
        </is>
      </c>
      <c r="B954" t="inlineStr">
        <is>
          <t>contract_date_conflict</t>
        </is>
      </c>
      <c r="C954" t="inlineStr">
        <is>
          <t>medium</t>
        </is>
      </c>
      <c r="D954" s="14" t="n">
        <v>45992</v>
      </c>
      <c r="E954" t="inlineStr">
        <is>
          <t>C000109</t>
        </is>
      </c>
      <c r="F954" s="9" t="n">
        <v>948</v>
      </c>
      <c r="G954" t="inlineStr">
        <is>
          <t>Invoice date falls outside the linked contract</t>
        </is>
      </c>
    </row>
    <row r="955">
      <c r="A955" t="inlineStr">
        <is>
          <t>INV00003132</t>
        </is>
      </c>
      <c r="B955" t="inlineStr">
        <is>
          <t>contract_date_conflict</t>
        </is>
      </c>
      <c r="C955" t="inlineStr">
        <is>
          <t>medium</t>
        </is>
      </c>
      <c r="D955" s="14" t="n">
        <v>45992</v>
      </c>
      <c r="E955" t="inlineStr">
        <is>
          <t>C000227</t>
        </is>
      </c>
      <c r="F955" s="9" t="n">
        <v>948</v>
      </c>
      <c r="G955" t="inlineStr">
        <is>
          <t>Invoice date falls outside the linked contract</t>
        </is>
      </c>
    </row>
    <row r="956">
      <c r="A956" t="inlineStr">
        <is>
          <t>INV00003416</t>
        </is>
      </c>
      <c r="B956" t="inlineStr">
        <is>
          <t>contract_date_conflict</t>
        </is>
      </c>
      <c r="C956" t="inlineStr">
        <is>
          <t>medium</t>
        </is>
      </c>
      <c r="D956" s="14" t="n">
        <v>45992</v>
      </c>
      <c r="E956" t="inlineStr">
        <is>
          <t>C000248</t>
        </is>
      </c>
      <c r="F956" s="9" t="n">
        <v>11920</v>
      </c>
      <c r="G956" t="inlineStr">
        <is>
          <t>Invoice date falls outside the linked contract</t>
        </is>
      </c>
    </row>
    <row r="957">
      <c r="A957" t="inlineStr">
        <is>
          <t>INV00003472</t>
        </is>
      </c>
      <c r="B957" t="inlineStr">
        <is>
          <t>contract_date_conflict</t>
        </is>
      </c>
      <c r="C957" t="inlineStr">
        <is>
          <t>medium</t>
        </is>
      </c>
      <c r="D957" s="14" t="n">
        <v>45992</v>
      </c>
      <c r="E957" t="inlineStr">
        <is>
          <t>C000251</t>
        </is>
      </c>
      <c r="F957" s="9" t="n">
        <v>1200.8</v>
      </c>
      <c r="G957" t="inlineStr">
        <is>
          <t>Invoice date falls outside the linked contract</t>
        </is>
      </c>
    </row>
    <row r="958">
      <c r="A958" t="inlineStr">
        <is>
          <t>INV00005582</t>
        </is>
      </c>
      <c r="B958" t="inlineStr">
        <is>
          <t>contract_date_conflict</t>
        </is>
      </c>
      <c r="C958" t="inlineStr">
        <is>
          <t>medium</t>
        </is>
      </c>
      <c r="D958" s="14" t="n">
        <v>45992</v>
      </c>
      <c r="E958" t="inlineStr">
        <is>
          <t>C000398</t>
        </is>
      </c>
      <c r="F958" s="9" t="n">
        <v>1738</v>
      </c>
      <c r="G958" t="inlineStr">
        <is>
          <t>Invoice date falls outside the linked contract</t>
        </is>
      </c>
    </row>
    <row r="959">
      <c r="A959" t="inlineStr">
        <is>
          <t>INV00005851</t>
        </is>
      </c>
      <c r="B959" t="inlineStr">
        <is>
          <t>contract_date_conflict</t>
        </is>
      </c>
      <c r="C959" t="inlineStr">
        <is>
          <t>medium</t>
        </is>
      </c>
      <c r="D959" s="14" t="n">
        <v>45992</v>
      </c>
      <c r="E959" t="inlineStr">
        <is>
          <t>C000415</t>
        </is>
      </c>
      <c r="F959" s="9" t="n">
        <v>234</v>
      </c>
      <c r="G959" t="inlineStr">
        <is>
          <t>Invoice date falls outside the linked contract</t>
        </is>
      </c>
    </row>
    <row r="960">
      <c r="A960" t="inlineStr">
        <is>
          <t>INV00005950</t>
        </is>
      </c>
      <c r="B960" t="inlineStr">
        <is>
          <t>contract_date_conflict</t>
        </is>
      </c>
      <c r="C960" t="inlineStr">
        <is>
          <t>medium</t>
        </is>
      </c>
      <c r="D960" s="14" t="n">
        <v>45992</v>
      </c>
      <c r="E960" t="inlineStr">
        <is>
          <t>C000423</t>
        </is>
      </c>
      <c r="F960" s="9" t="n">
        <v>13007.7</v>
      </c>
      <c r="G960" t="inlineStr">
        <is>
          <t>Invoice date falls outside the linked contract</t>
        </is>
      </c>
    </row>
    <row r="961">
      <c r="A961" t="inlineStr">
        <is>
          <t>INV00007684</t>
        </is>
      </c>
      <c r="B961" t="inlineStr">
        <is>
          <t>contract_date_conflict</t>
        </is>
      </c>
      <c r="C961" t="inlineStr">
        <is>
          <t>medium</t>
        </is>
      </c>
      <c r="D961" s="14" t="n">
        <v>45992</v>
      </c>
      <c r="E961" t="inlineStr">
        <is>
          <t>C000539</t>
        </is>
      </c>
      <c r="F961" s="9" t="n">
        <v>1501</v>
      </c>
      <c r="G961" t="inlineStr">
        <is>
          <t>Invoice date falls outside the linked contract</t>
        </is>
      </c>
    </row>
    <row r="962">
      <c r="A962" t="inlineStr">
        <is>
          <t>INV00007799</t>
        </is>
      </c>
      <c r="B962" t="inlineStr">
        <is>
          <t>contract_date_conflict</t>
        </is>
      </c>
      <c r="C962" t="inlineStr">
        <is>
          <t>medium</t>
        </is>
      </c>
      <c r="D962" s="14" t="n">
        <v>45992</v>
      </c>
      <c r="E962" t="inlineStr">
        <is>
          <t>C000550</t>
        </is>
      </c>
      <c r="F962" s="9" t="n">
        <v>3088.9</v>
      </c>
      <c r="G962" t="inlineStr">
        <is>
          <t>Invoice date falls outside the linked contract</t>
        </is>
      </c>
    </row>
    <row r="963">
      <c r="A963" t="inlineStr">
        <is>
          <t>INV00008351</t>
        </is>
      </c>
      <c r="B963" t="inlineStr">
        <is>
          <t>contract_date_conflict</t>
        </is>
      </c>
      <c r="C963" t="inlineStr">
        <is>
          <t>medium</t>
        </is>
      </c>
      <c r="D963" s="14" t="n">
        <v>45992</v>
      </c>
      <c r="E963" t="inlineStr">
        <is>
          <t>C000590</t>
        </is>
      </c>
      <c r="F963" s="9" t="n">
        <v>195</v>
      </c>
      <c r="G963" t="inlineStr">
        <is>
          <t>Invoice date falls outside the linked contract</t>
        </is>
      </c>
    </row>
    <row r="964">
      <c r="A964" t="inlineStr">
        <is>
          <t>INV00008749</t>
        </is>
      </c>
      <c r="B964" t="inlineStr">
        <is>
          <t>contract_date_conflict</t>
        </is>
      </c>
      <c r="C964" t="inlineStr">
        <is>
          <t>medium</t>
        </is>
      </c>
      <c r="D964" s="14" t="n">
        <v>45992</v>
      </c>
      <c r="E964" t="inlineStr">
        <is>
          <t>C000615</t>
        </is>
      </c>
      <c r="F964" s="9" t="n">
        <v>351</v>
      </c>
      <c r="G964" t="inlineStr">
        <is>
          <t>Invoice date falls outside the linked contract</t>
        </is>
      </c>
    </row>
    <row r="965">
      <c r="A965" t="inlineStr">
        <is>
          <t>INV00008798</t>
        </is>
      </c>
      <c r="B965" t="inlineStr">
        <is>
          <t>contract_date_conflict</t>
        </is>
      </c>
      <c r="C965" t="inlineStr">
        <is>
          <t>medium</t>
        </is>
      </c>
      <c r="D965" s="14" t="n">
        <v>45992</v>
      </c>
      <c r="E965" t="inlineStr">
        <is>
          <t>C000619</t>
        </is>
      </c>
      <c r="F965" s="9" t="n">
        <v>187.2</v>
      </c>
      <c r="G965" t="inlineStr">
        <is>
          <t>Invoice date falls outside the linked contract</t>
        </is>
      </c>
    </row>
    <row r="966">
      <c r="A966" t="inlineStr">
        <is>
          <t>INV00008905</t>
        </is>
      </c>
      <c r="B966" t="inlineStr">
        <is>
          <t>contract_date_conflict</t>
        </is>
      </c>
      <c r="C966" t="inlineStr">
        <is>
          <t>medium</t>
        </is>
      </c>
      <c r="D966" s="14" t="n">
        <v>45992</v>
      </c>
      <c r="E966" t="inlineStr">
        <is>
          <t>C000625</t>
        </is>
      </c>
      <c r="F966" s="9" t="n">
        <v>1185</v>
      </c>
      <c r="G966" t="inlineStr">
        <is>
          <t>Invoice date falls outside the linked contract</t>
        </is>
      </c>
    </row>
    <row r="967">
      <c r="A967" t="inlineStr">
        <is>
          <t>INV00010203</t>
        </is>
      </c>
      <c r="B967" t="inlineStr">
        <is>
          <t>contract_date_conflict</t>
        </is>
      </c>
      <c r="C967" t="inlineStr">
        <is>
          <t>medium</t>
        </is>
      </c>
      <c r="D967" s="14" t="n">
        <v>45992</v>
      </c>
      <c r="E967" t="inlineStr">
        <is>
          <t>C000718</t>
        </is>
      </c>
      <c r="F967" s="9" t="n">
        <v>13261</v>
      </c>
      <c r="G967" t="inlineStr">
        <is>
          <t>Invoice date falls outside the linked contract</t>
        </is>
      </c>
    </row>
    <row r="968">
      <c r="A968" t="inlineStr">
        <is>
          <t>INV00010883</t>
        </is>
      </c>
      <c r="B968" t="inlineStr">
        <is>
          <t>contract_date_conflict</t>
        </is>
      </c>
      <c r="C968" t="inlineStr">
        <is>
          <t>medium</t>
        </is>
      </c>
      <c r="D968" s="14" t="n">
        <v>45992</v>
      </c>
      <c r="E968" t="inlineStr">
        <is>
          <t>C000763</t>
        </is>
      </c>
      <c r="F968" s="9" t="n">
        <v>1007.25</v>
      </c>
      <c r="G968" t="inlineStr">
        <is>
          <t>Invoice date falls outside the linked contract</t>
        </is>
      </c>
    </row>
    <row r="969">
      <c r="A969" t="inlineStr">
        <is>
          <t>INV00011410</t>
        </is>
      </c>
      <c r="B969" t="inlineStr">
        <is>
          <t>contract_date_conflict</t>
        </is>
      </c>
      <c r="C969" t="inlineStr">
        <is>
          <t>medium</t>
        </is>
      </c>
      <c r="D969" s="14" t="n">
        <v>45992</v>
      </c>
      <c r="E969" t="inlineStr">
        <is>
          <t>C000802</t>
        </is>
      </c>
      <c r="F969" s="9" t="n">
        <v>1422</v>
      </c>
      <c r="G969" t="inlineStr">
        <is>
          <t>Invoice date falls outside the linked contract</t>
        </is>
      </c>
    </row>
    <row r="970">
      <c r="A970" t="inlineStr">
        <is>
          <t>INV00011804</t>
        </is>
      </c>
      <c r="B970" t="inlineStr">
        <is>
          <t>contract_date_conflict</t>
        </is>
      </c>
      <c r="C970" t="inlineStr">
        <is>
          <t>medium</t>
        </is>
      </c>
      <c r="D970" s="14" t="n">
        <v>45992</v>
      </c>
      <c r="E970" t="inlineStr">
        <is>
          <t>C000833</t>
        </is>
      </c>
      <c r="F970" s="9" t="n">
        <v>234</v>
      </c>
      <c r="G970" t="inlineStr">
        <is>
          <t>Invoice date falls outside the linked contract</t>
        </is>
      </c>
    </row>
    <row r="971">
      <c r="A971" t="inlineStr">
        <is>
          <t>INV00012313</t>
        </is>
      </c>
      <c r="B971" t="inlineStr">
        <is>
          <t>contract_date_conflict</t>
        </is>
      </c>
      <c r="C971" t="inlineStr">
        <is>
          <t>medium</t>
        </is>
      </c>
      <c r="D971" s="14" t="n">
        <v>45992</v>
      </c>
      <c r="E971" t="inlineStr">
        <is>
          <t>C000866</t>
        </is>
      </c>
      <c r="F971" s="9" t="n">
        <v>273</v>
      </c>
      <c r="G971" t="inlineStr">
        <is>
          <t>Invoice date falls outside the linked contract</t>
        </is>
      </c>
    </row>
    <row r="972">
      <c r="A972" t="inlineStr">
        <is>
          <t>INV00013596</t>
        </is>
      </c>
      <c r="B972" t="inlineStr">
        <is>
          <t>contract_date_conflict</t>
        </is>
      </c>
      <c r="C972" t="inlineStr">
        <is>
          <t>medium</t>
        </is>
      </c>
      <c r="D972" s="14" t="n">
        <v>45992</v>
      </c>
      <c r="E972" t="inlineStr">
        <is>
          <t>C000958</t>
        </is>
      </c>
      <c r="F972" s="9" t="n">
        <v>1501</v>
      </c>
      <c r="G972" t="inlineStr">
        <is>
          <t>Invoice date falls outside the linked contract</t>
        </is>
      </c>
    </row>
    <row r="973">
      <c r="A973" t="inlineStr">
        <is>
          <t>INV00014113</t>
        </is>
      </c>
      <c r="B973" t="inlineStr">
        <is>
          <t>contract_date_conflict</t>
        </is>
      </c>
      <c r="C973" t="inlineStr">
        <is>
          <t>medium</t>
        </is>
      </c>
      <c r="D973" s="14" t="n">
        <v>45992</v>
      </c>
      <c r="E973" t="inlineStr">
        <is>
          <t>C000992</t>
        </is>
      </c>
      <c r="F973" s="9" t="n">
        <v>195</v>
      </c>
      <c r="G973" t="inlineStr">
        <is>
          <t>Invoice date falls outside the linked contract</t>
        </is>
      </c>
    </row>
    <row r="974">
      <c r="A974" t="inlineStr">
        <is>
          <t>INV00015948</t>
        </is>
      </c>
      <c r="B974" t="inlineStr">
        <is>
          <t>contract_date_conflict</t>
        </is>
      </c>
      <c r="C974" t="inlineStr">
        <is>
          <t>medium</t>
        </is>
      </c>
      <c r="D974" s="14" t="n">
        <v>45992</v>
      </c>
      <c r="E974" t="inlineStr">
        <is>
          <t>C001104</t>
        </is>
      </c>
      <c r="F974" s="9" t="n">
        <v>273</v>
      </c>
      <c r="G974" t="inlineStr">
        <is>
          <t>Invoice date falls outside the linked contract</t>
        </is>
      </c>
    </row>
    <row r="975">
      <c r="A975" t="inlineStr">
        <is>
          <t>INV00015949</t>
        </is>
      </c>
      <c r="B975" t="inlineStr">
        <is>
          <t>contract_date_conflict</t>
        </is>
      </c>
      <c r="C975" t="inlineStr">
        <is>
          <t>medium</t>
        </is>
      </c>
      <c r="D975" s="14" t="n">
        <v>45992</v>
      </c>
      <c r="E975" t="inlineStr">
        <is>
          <t>C001105</t>
        </is>
      </c>
      <c r="F975" s="9" t="n">
        <v>273</v>
      </c>
      <c r="G975" t="inlineStr">
        <is>
          <t>Invoice date falls outside the linked contract</t>
        </is>
      </c>
    </row>
    <row r="976">
      <c r="A976" t="inlineStr">
        <is>
          <t>INV00016001</t>
        </is>
      </c>
      <c r="B976" t="inlineStr">
        <is>
          <t>contract_date_conflict</t>
        </is>
      </c>
      <c r="C976" t="inlineStr">
        <is>
          <t>medium</t>
        </is>
      </c>
      <c r="D976" s="14" t="n">
        <v>45992</v>
      </c>
      <c r="E976" t="inlineStr">
        <is>
          <t>C001115</t>
        </is>
      </c>
      <c r="F976" s="9" t="n">
        <v>234</v>
      </c>
      <c r="G976" t="inlineStr">
        <is>
          <t>Invoice date falls outside the linked contract</t>
        </is>
      </c>
    </row>
    <row r="977">
      <c r="A977" t="inlineStr">
        <is>
          <t>INV00017348</t>
        </is>
      </c>
      <c r="B977" t="inlineStr">
        <is>
          <t>contract_date_conflict</t>
        </is>
      </c>
      <c r="C977" t="inlineStr">
        <is>
          <t>medium</t>
        </is>
      </c>
      <c r="D977" s="14" t="n">
        <v>45992</v>
      </c>
      <c r="E977" t="inlineStr">
        <is>
          <t>C001200</t>
        </is>
      </c>
      <c r="F977" s="9" t="n">
        <v>3634</v>
      </c>
      <c r="G977" t="inlineStr">
        <is>
          <t>Invoice date falls outside the linked contract</t>
        </is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0"/>
  <pageMargins left="0.4" right="0.4" top="1" bottom="1" header="0.5" footer="0.5"/>
  <pageSetup orientation="landscape" paperSize="1" fitToHeight="0" fitToWidth="1"/>
  <headerFooter>
    <oddHeader>&amp;L&amp;9 SaaS Revenue Intelligence | MRR, Retention &amp;&amp; Billing Controls&amp;R&amp;9 Exceptions</oddHeader>
    <oddFooter>&amp;L&amp;8 Synthetic data. Not real financial results.&amp;C&amp;8 Refreshed 2026-09-19 20:07 UTC&amp;R&amp;8 Page &amp;P of &amp;N</oddFooter>
    <evenHeader/>
    <evenFooter/>
    <firstHeader/>
    <firstFooter/>
  </headerFooter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60" customWidth="1" min="3" max="3"/>
  </cols>
  <sheetData>
    <row r="1">
      <c r="A1" s="1" t="inlineStr">
        <is>
          <t>Scenario inputs</t>
        </is>
      </c>
    </row>
    <row r="2">
      <c r="A2" t="inlineStr">
        <is>
          <t>Shaded cells are the only editable cells in this workbook. Outputs are simulated, not observed.</t>
        </is>
      </c>
    </row>
    <row r="4" ht="32" customHeight="1">
      <c r="A4" s="3" t="inlineStr">
        <is>
          <t>Assumption</t>
        </is>
      </c>
      <c r="B4" s="3" t="inlineStr">
        <is>
          <t>Value</t>
        </is>
      </c>
      <c r="C4" s="3" t="inlineStr">
        <is>
          <t>Meaning</t>
        </is>
      </c>
    </row>
    <row r="5">
      <c r="A5" t="inlineStr">
        <is>
          <t>Churn reduction</t>
        </is>
      </c>
      <c r="B5" s="15" t="n">
        <v>0.1</v>
      </c>
      <c r="C5" t="inlineStr">
        <is>
          <t>Share of churned MRR avoided each month</t>
        </is>
      </c>
    </row>
    <row r="6">
      <c r="A6" t="inlineStr">
        <is>
          <t>Pricing change</t>
        </is>
      </c>
      <c r="B6" s="15" t="n">
        <v>0.03</v>
      </c>
      <c r="C6" t="inlineStr">
        <is>
          <t>Uplift applied to closing MRR</t>
        </is>
      </c>
    </row>
    <row r="7">
      <c r="A7" t="inlineStr">
        <is>
          <t>Expansion uplift</t>
        </is>
      </c>
      <c r="B7" s="15" t="n">
        <v>0.1</v>
      </c>
      <c r="C7" t="inlineStr">
        <is>
          <t>Extra expansion as a share of observed expansion MRR</t>
        </is>
      </c>
    </row>
    <row r="8">
      <c r="A8" t="inlineStr">
        <is>
          <t>Failed-payment recovery</t>
        </is>
      </c>
      <c r="B8" s="15" t="n">
        <v>0.2</v>
      </c>
      <c r="C8" t="inlineStr">
        <is>
          <t>Share of unpaid failed exposure recovered as cash</t>
        </is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0"/>
  <pageMargins left="0.4" right="0.4" top="1" bottom="1" header="0.5" footer="0.5"/>
  <pageSetup orientation="landscape" paperSize="1" fitToHeight="0" fitToWidth="1"/>
  <headerFooter>
    <oddHeader>&amp;L&amp;9 SaaS Revenue Intelligence | MRR, Retention &amp;&amp; Billing Controls&amp;R&amp;9 Scenario Inputs</oddHeader>
    <oddFooter>&amp;L&amp;8 Synthetic data. Not real financial results.&amp;C&amp;8 Refreshed 2026-09-19 20:07 UTC&amp;R&amp;8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4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1" t="inlineStr">
        <is>
          <t>Scenario output (simulated)</t>
        </is>
      </c>
    </row>
    <row r="2">
      <c r="A2" t="inlineStr">
        <is>
          <t>Formulas apply the shaded assumptions to observed monthly values. Not a forecast.</t>
        </is>
      </c>
    </row>
    <row r="4" ht="32" customHeight="1">
      <c r="A4" s="3" t="inlineStr">
        <is>
          <t>Month</t>
        </is>
      </c>
      <c r="B4" s="3" t="inlineStr">
        <is>
          <t>Baseline MRR</t>
        </is>
      </c>
      <c r="C4" s="3" t="inlineStr">
        <is>
          <t>Avoided churn</t>
        </is>
      </c>
      <c r="D4" s="3" t="inlineStr">
        <is>
          <t>Extra expansion</t>
        </is>
      </c>
      <c r="E4" s="3" t="inlineStr">
        <is>
          <t>Pricing effect</t>
        </is>
      </c>
      <c r="F4" s="3" t="inlineStr">
        <is>
          <t>Scenario MRR</t>
        </is>
      </c>
      <c r="G4" s="3" t="inlineStr">
        <is>
          <t>Incremental MRR</t>
        </is>
      </c>
      <c r="H4" s="3" t="inlineStr">
        <is>
          <t>Baseline net cash</t>
        </is>
      </c>
      <c r="I4" s="3" t="inlineStr">
        <is>
          <t>Recovered cash</t>
        </is>
      </c>
      <c r="J4" s="3" t="inlineStr">
        <is>
          <t>Scenario net cash</t>
        </is>
      </c>
    </row>
    <row r="5">
      <c r="A5" s="8">
        <f>'MRR Bridge'!A5</f>
        <v/>
      </c>
      <c r="B5" s="9">
        <f>'MRR Bridge'!H5</f>
        <v/>
      </c>
      <c r="C5" s="9">
        <f>'MRR Bridge'!G5*'Scenario Inputs'!$B$5</f>
        <v/>
      </c>
      <c r="D5" s="9">
        <f>'MRR Bridge'!D5*'Scenario Inputs'!$B$7</f>
        <v/>
      </c>
      <c r="E5" s="9">
        <f>'MRR Bridge'!H5*'Scenario Inputs'!$B$6</f>
        <v/>
      </c>
      <c r="F5" s="9">
        <f>B5+C5+D5+E5</f>
        <v/>
      </c>
      <c r="G5" s="9">
        <f>F5-B5</f>
        <v/>
      </c>
      <c r="H5" s="9">
        <f>'Billing Reconciliation'!G5</f>
        <v/>
      </c>
      <c r="I5" s="9">
        <f>'Billing Reconciliation'!E5*'Scenario Inputs'!$B$8</f>
        <v/>
      </c>
      <c r="J5" s="9">
        <f>H5+I5</f>
        <v/>
      </c>
    </row>
    <row r="6">
      <c r="A6" s="8">
        <f>'MRR Bridge'!A6</f>
        <v/>
      </c>
      <c r="B6" s="9">
        <f>'MRR Bridge'!H6</f>
        <v/>
      </c>
      <c r="C6" s="9">
        <f>'MRR Bridge'!G6*'Scenario Inputs'!$B$5</f>
        <v/>
      </c>
      <c r="D6" s="9">
        <f>'MRR Bridge'!D6*'Scenario Inputs'!$B$7</f>
        <v/>
      </c>
      <c r="E6" s="9">
        <f>'MRR Bridge'!H6*'Scenario Inputs'!$B$6</f>
        <v/>
      </c>
      <c r="F6" s="9">
        <f>B6+C6+D6+E6</f>
        <v/>
      </c>
      <c r="G6" s="9">
        <f>F6-B6</f>
        <v/>
      </c>
      <c r="H6" s="9">
        <f>'Billing Reconciliation'!G6</f>
        <v/>
      </c>
      <c r="I6" s="9">
        <f>'Billing Reconciliation'!E6*'Scenario Inputs'!$B$8</f>
        <v/>
      </c>
      <c r="J6" s="9">
        <f>H6+I6</f>
        <v/>
      </c>
    </row>
    <row r="7">
      <c r="A7" s="8">
        <f>'MRR Bridge'!A7</f>
        <v/>
      </c>
      <c r="B7" s="9">
        <f>'MRR Bridge'!H7</f>
        <v/>
      </c>
      <c r="C7" s="9">
        <f>'MRR Bridge'!G7*'Scenario Inputs'!$B$5</f>
        <v/>
      </c>
      <c r="D7" s="9">
        <f>'MRR Bridge'!D7*'Scenario Inputs'!$B$7</f>
        <v/>
      </c>
      <c r="E7" s="9">
        <f>'MRR Bridge'!H7*'Scenario Inputs'!$B$6</f>
        <v/>
      </c>
      <c r="F7" s="9">
        <f>B7+C7+D7+E7</f>
        <v/>
      </c>
      <c r="G7" s="9">
        <f>F7-B7</f>
        <v/>
      </c>
      <c r="H7" s="9">
        <f>'Billing Reconciliation'!G7</f>
        <v/>
      </c>
      <c r="I7" s="9">
        <f>'Billing Reconciliation'!E7*'Scenario Inputs'!$B$8</f>
        <v/>
      </c>
      <c r="J7" s="9">
        <f>H7+I7</f>
        <v/>
      </c>
    </row>
    <row r="8">
      <c r="A8" s="8">
        <f>'MRR Bridge'!A8</f>
        <v/>
      </c>
      <c r="B8" s="9">
        <f>'MRR Bridge'!H8</f>
        <v/>
      </c>
      <c r="C8" s="9">
        <f>'MRR Bridge'!G8*'Scenario Inputs'!$B$5</f>
        <v/>
      </c>
      <c r="D8" s="9">
        <f>'MRR Bridge'!D8*'Scenario Inputs'!$B$7</f>
        <v/>
      </c>
      <c r="E8" s="9">
        <f>'MRR Bridge'!H8*'Scenario Inputs'!$B$6</f>
        <v/>
      </c>
      <c r="F8" s="9">
        <f>B8+C8+D8+E8</f>
        <v/>
      </c>
      <c r="G8" s="9">
        <f>F8-B8</f>
        <v/>
      </c>
      <c r="H8" s="9">
        <f>'Billing Reconciliation'!G8</f>
        <v/>
      </c>
      <c r="I8" s="9">
        <f>'Billing Reconciliation'!E8*'Scenario Inputs'!$B$8</f>
        <v/>
      </c>
      <c r="J8" s="9">
        <f>H8+I8</f>
        <v/>
      </c>
    </row>
    <row r="9">
      <c r="A9" s="8">
        <f>'MRR Bridge'!A9</f>
        <v/>
      </c>
      <c r="B9" s="9">
        <f>'MRR Bridge'!H9</f>
        <v/>
      </c>
      <c r="C9" s="9">
        <f>'MRR Bridge'!G9*'Scenario Inputs'!$B$5</f>
        <v/>
      </c>
      <c r="D9" s="9">
        <f>'MRR Bridge'!D9*'Scenario Inputs'!$B$7</f>
        <v/>
      </c>
      <c r="E9" s="9">
        <f>'MRR Bridge'!H9*'Scenario Inputs'!$B$6</f>
        <v/>
      </c>
      <c r="F9" s="9">
        <f>B9+C9+D9+E9</f>
        <v/>
      </c>
      <c r="G9" s="9">
        <f>F9-B9</f>
        <v/>
      </c>
      <c r="H9" s="9">
        <f>'Billing Reconciliation'!G9</f>
        <v/>
      </c>
      <c r="I9" s="9">
        <f>'Billing Reconciliation'!E9*'Scenario Inputs'!$B$8</f>
        <v/>
      </c>
      <c r="J9" s="9">
        <f>H9+I9</f>
        <v/>
      </c>
    </row>
    <row r="10">
      <c r="A10" s="8">
        <f>'MRR Bridge'!A10</f>
        <v/>
      </c>
      <c r="B10" s="9">
        <f>'MRR Bridge'!H10</f>
        <v/>
      </c>
      <c r="C10" s="9">
        <f>'MRR Bridge'!G10*'Scenario Inputs'!$B$5</f>
        <v/>
      </c>
      <c r="D10" s="9">
        <f>'MRR Bridge'!D10*'Scenario Inputs'!$B$7</f>
        <v/>
      </c>
      <c r="E10" s="9">
        <f>'MRR Bridge'!H10*'Scenario Inputs'!$B$6</f>
        <v/>
      </c>
      <c r="F10" s="9">
        <f>B10+C10+D10+E10</f>
        <v/>
      </c>
      <c r="G10" s="9">
        <f>F10-B10</f>
        <v/>
      </c>
      <c r="H10" s="9">
        <f>'Billing Reconciliation'!G10</f>
        <v/>
      </c>
      <c r="I10" s="9">
        <f>'Billing Reconciliation'!E10*'Scenario Inputs'!$B$8</f>
        <v/>
      </c>
      <c r="J10" s="9">
        <f>H10+I10</f>
        <v/>
      </c>
    </row>
    <row r="11">
      <c r="A11" s="8">
        <f>'MRR Bridge'!A11</f>
        <v/>
      </c>
      <c r="B11" s="9">
        <f>'MRR Bridge'!H11</f>
        <v/>
      </c>
      <c r="C11" s="9">
        <f>'MRR Bridge'!G11*'Scenario Inputs'!$B$5</f>
        <v/>
      </c>
      <c r="D11" s="9">
        <f>'MRR Bridge'!D11*'Scenario Inputs'!$B$7</f>
        <v/>
      </c>
      <c r="E11" s="9">
        <f>'MRR Bridge'!H11*'Scenario Inputs'!$B$6</f>
        <v/>
      </c>
      <c r="F11" s="9">
        <f>B11+C11+D11+E11</f>
        <v/>
      </c>
      <c r="G11" s="9">
        <f>F11-B11</f>
        <v/>
      </c>
      <c r="H11" s="9">
        <f>'Billing Reconciliation'!G11</f>
        <v/>
      </c>
      <c r="I11" s="9">
        <f>'Billing Reconciliation'!E11*'Scenario Inputs'!$B$8</f>
        <v/>
      </c>
      <c r="J11" s="9">
        <f>H11+I11</f>
        <v/>
      </c>
    </row>
    <row r="12">
      <c r="A12" s="8">
        <f>'MRR Bridge'!A12</f>
        <v/>
      </c>
      <c r="B12" s="9">
        <f>'MRR Bridge'!H12</f>
        <v/>
      </c>
      <c r="C12" s="9">
        <f>'MRR Bridge'!G12*'Scenario Inputs'!$B$5</f>
        <v/>
      </c>
      <c r="D12" s="9">
        <f>'MRR Bridge'!D12*'Scenario Inputs'!$B$7</f>
        <v/>
      </c>
      <c r="E12" s="9">
        <f>'MRR Bridge'!H12*'Scenario Inputs'!$B$6</f>
        <v/>
      </c>
      <c r="F12" s="9">
        <f>B12+C12+D12+E12</f>
        <v/>
      </c>
      <c r="G12" s="9">
        <f>F12-B12</f>
        <v/>
      </c>
      <c r="H12" s="9">
        <f>'Billing Reconciliation'!G12</f>
        <v/>
      </c>
      <c r="I12" s="9">
        <f>'Billing Reconciliation'!E12*'Scenario Inputs'!$B$8</f>
        <v/>
      </c>
      <c r="J12" s="9">
        <f>H12+I12</f>
        <v/>
      </c>
    </row>
    <row r="13">
      <c r="A13" s="8">
        <f>'MRR Bridge'!A13</f>
        <v/>
      </c>
      <c r="B13" s="9">
        <f>'MRR Bridge'!H13</f>
        <v/>
      </c>
      <c r="C13" s="9">
        <f>'MRR Bridge'!G13*'Scenario Inputs'!$B$5</f>
        <v/>
      </c>
      <c r="D13" s="9">
        <f>'MRR Bridge'!D13*'Scenario Inputs'!$B$7</f>
        <v/>
      </c>
      <c r="E13" s="9">
        <f>'MRR Bridge'!H13*'Scenario Inputs'!$B$6</f>
        <v/>
      </c>
      <c r="F13" s="9">
        <f>B13+C13+D13+E13</f>
        <v/>
      </c>
      <c r="G13" s="9">
        <f>F13-B13</f>
        <v/>
      </c>
      <c r="H13" s="9">
        <f>'Billing Reconciliation'!G13</f>
        <v/>
      </c>
      <c r="I13" s="9">
        <f>'Billing Reconciliation'!E13*'Scenario Inputs'!$B$8</f>
        <v/>
      </c>
      <c r="J13" s="9">
        <f>H13+I13</f>
        <v/>
      </c>
    </row>
    <row r="14">
      <c r="A14" s="8">
        <f>'MRR Bridge'!A14</f>
        <v/>
      </c>
      <c r="B14" s="9">
        <f>'MRR Bridge'!H14</f>
        <v/>
      </c>
      <c r="C14" s="9">
        <f>'MRR Bridge'!G14*'Scenario Inputs'!$B$5</f>
        <v/>
      </c>
      <c r="D14" s="9">
        <f>'MRR Bridge'!D14*'Scenario Inputs'!$B$7</f>
        <v/>
      </c>
      <c r="E14" s="9">
        <f>'MRR Bridge'!H14*'Scenario Inputs'!$B$6</f>
        <v/>
      </c>
      <c r="F14" s="9">
        <f>B14+C14+D14+E14</f>
        <v/>
      </c>
      <c r="G14" s="9">
        <f>F14-B14</f>
        <v/>
      </c>
      <c r="H14" s="9">
        <f>'Billing Reconciliation'!G14</f>
        <v/>
      </c>
      <c r="I14" s="9">
        <f>'Billing Reconciliation'!E14*'Scenario Inputs'!$B$8</f>
        <v/>
      </c>
      <c r="J14" s="9">
        <f>H14+I14</f>
        <v/>
      </c>
    </row>
    <row r="15">
      <c r="A15" s="8">
        <f>'MRR Bridge'!A15</f>
        <v/>
      </c>
      <c r="B15" s="9">
        <f>'MRR Bridge'!H15</f>
        <v/>
      </c>
      <c r="C15" s="9">
        <f>'MRR Bridge'!G15*'Scenario Inputs'!$B$5</f>
        <v/>
      </c>
      <c r="D15" s="9">
        <f>'MRR Bridge'!D15*'Scenario Inputs'!$B$7</f>
        <v/>
      </c>
      <c r="E15" s="9">
        <f>'MRR Bridge'!H15*'Scenario Inputs'!$B$6</f>
        <v/>
      </c>
      <c r="F15" s="9">
        <f>B15+C15+D15+E15</f>
        <v/>
      </c>
      <c r="G15" s="9">
        <f>F15-B15</f>
        <v/>
      </c>
      <c r="H15" s="9">
        <f>'Billing Reconciliation'!G15</f>
        <v/>
      </c>
      <c r="I15" s="9">
        <f>'Billing Reconciliation'!E15*'Scenario Inputs'!$B$8</f>
        <v/>
      </c>
      <c r="J15" s="9">
        <f>H15+I15</f>
        <v/>
      </c>
    </row>
    <row r="16">
      <c r="A16" s="8">
        <f>'MRR Bridge'!A16</f>
        <v/>
      </c>
      <c r="B16" s="9">
        <f>'MRR Bridge'!H16</f>
        <v/>
      </c>
      <c r="C16" s="9">
        <f>'MRR Bridge'!G16*'Scenario Inputs'!$B$5</f>
        <v/>
      </c>
      <c r="D16" s="9">
        <f>'MRR Bridge'!D16*'Scenario Inputs'!$B$7</f>
        <v/>
      </c>
      <c r="E16" s="9">
        <f>'MRR Bridge'!H16*'Scenario Inputs'!$B$6</f>
        <v/>
      </c>
      <c r="F16" s="9">
        <f>B16+C16+D16+E16</f>
        <v/>
      </c>
      <c r="G16" s="9">
        <f>F16-B16</f>
        <v/>
      </c>
      <c r="H16" s="9">
        <f>'Billing Reconciliation'!G16</f>
        <v/>
      </c>
      <c r="I16" s="9">
        <f>'Billing Reconciliation'!E16*'Scenario Inputs'!$B$8</f>
        <v/>
      </c>
      <c r="J16" s="9">
        <f>H16+I16</f>
        <v/>
      </c>
    </row>
    <row r="17">
      <c r="A17" s="8">
        <f>'MRR Bridge'!A17</f>
        <v/>
      </c>
      <c r="B17" s="9">
        <f>'MRR Bridge'!H17</f>
        <v/>
      </c>
      <c r="C17" s="9">
        <f>'MRR Bridge'!G17*'Scenario Inputs'!$B$5</f>
        <v/>
      </c>
      <c r="D17" s="9">
        <f>'MRR Bridge'!D17*'Scenario Inputs'!$B$7</f>
        <v/>
      </c>
      <c r="E17" s="9">
        <f>'MRR Bridge'!H17*'Scenario Inputs'!$B$6</f>
        <v/>
      </c>
      <c r="F17" s="9">
        <f>B17+C17+D17+E17</f>
        <v/>
      </c>
      <c r="G17" s="9">
        <f>F17-B17</f>
        <v/>
      </c>
      <c r="H17" s="9">
        <f>'Billing Reconciliation'!G17</f>
        <v/>
      </c>
      <c r="I17" s="9">
        <f>'Billing Reconciliation'!E17*'Scenario Inputs'!$B$8</f>
        <v/>
      </c>
      <c r="J17" s="9">
        <f>H17+I17</f>
        <v/>
      </c>
    </row>
    <row r="18">
      <c r="A18" s="8">
        <f>'MRR Bridge'!A18</f>
        <v/>
      </c>
      <c r="B18" s="9">
        <f>'MRR Bridge'!H18</f>
        <v/>
      </c>
      <c r="C18" s="9">
        <f>'MRR Bridge'!G18*'Scenario Inputs'!$B$5</f>
        <v/>
      </c>
      <c r="D18" s="9">
        <f>'MRR Bridge'!D18*'Scenario Inputs'!$B$7</f>
        <v/>
      </c>
      <c r="E18" s="9">
        <f>'MRR Bridge'!H18*'Scenario Inputs'!$B$6</f>
        <v/>
      </c>
      <c r="F18" s="9">
        <f>B18+C18+D18+E18</f>
        <v/>
      </c>
      <c r="G18" s="9">
        <f>F18-B18</f>
        <v/>
      </c>
      <c r="H18" s="9">
        <f>'Billing Reconciliation'!G18</f>
        <v/>
      </c>
      <c r="I18" s="9">
        <f>'Billing Reconciliation'!E18*'Scenario Inputs'!$B$8</f>
        <v/>
      </c>
      <c r="J18" s="9">
        <f>H18+I18</f>
        <v/>
      </c>
    </row>
    <row r="19">
      <c r="A19" s="8">
        <f>'MRR Bridge'!A19</f>
        <v/>
      </c>
      <c r="B19" s="9">
        <f>'MRR Bridge'!H19</f>
        <v/>
      </c>
      <c r="C19" s="9">
        <f>'MRR Bridge'!G19*'Scenario Inputs'!$B$5</f>
        <v/>
      </c>
      <c r="D19" s="9">
        <f>'MRR Bridge'!D19*'Scenario Inputs'!$B$7</f>
        <v/>
      </c>
      <c r="E19" s="9">
        <f>'MRR Bridge'!H19*'Scenario Inputs'!$B$6</f>
        <v/>
      </c>
      <c r="F19" s="9">
        <f>B19+C19+D19+E19</f>
        <v/>
      </c>
      <c r="G19" s="9">
        <f>F19-B19</f>
        <v/>
      </c>
      <c r="H19" s="9">
        <f>'Billing Reconciliation'!G19</f>
        <v/>
      </c>
      <c r="I19" s="9">
        <f>'Billing Reconciliation'!E19*'Scenario Inputs'!$B$8</f>
        <v/>
      </c>
      <c r="J19" s="9">
        <f>H19+I19</f>
        <v/>
      </c>
    </row>
    <row r="20">
      <c r="A20" s="8">
        <f>'MRR Bridge'!A20</f>
        <v/>
      </c>
      <c r="B20" s="9">
        <f>'MRR Bridge'!H20</f>
        <v/>
      </c>
      <c r="C20" s="9">
        <f>'MRR Bridge'!G20*'Scenario Inputs'!$B$5</f>
        <v/>
      </c>
      <c r="D20" s="9">
        <f>'MRR Bridge'!D20*'Scenario Inputs'!$B$7</f>
        <v/>
      </c>
      <c r="E20" s="9">
        <f>'MRR Bridge'!H20*'Scenario Inputs'!$B$6</f>
        <v/>
      </c>
      <c r="F20" s="9">
        <f>B20+C20+D20+E20</f>
        <v/>
      </c>
      <c r="G20" s="9">
        <f>F20-B20</f>
        <v/>
      </c>
      <c r="H20" s="9">
        <f>'Billing Reconciliation'!G20</f>
        <v/>
      </c>
      <c r="I20" s="9">
        <f>'Billing Reconciliation'!E20*'Scenario Inputs'!$B$8</f>
        <v/>
      </c>
      <c r="J20" s="9">
        <f>H20+I20</f>
        <v/>
      </c>
    </row>
    <row r="21">
      <c r="A21" s="8">
        <f>'MRR Bridge'!A21</f>
        <v/>
      </c>
      <c r="B21" s="9">
        <f>'MRR Bridge'!H21</f>
        <v/>
      </c>
      <c r="C21" s="9">
        <f>'MRR Bridge'!G21*'Scenario Inputs'!$B$5</f>
        <v/>
      </c>
      <c r="D21" s="9">
        <f>'MRR Bridge'!D21*'Scenario Inputs'!$B$7</f>
        <v/>
      </c>
      <c r="E21" s="9">
        <f>'MRR Bridge'!H21*'Scenario Inputs'!$B$6</f>
        <v/>
      </c>
      <c r="F21" s="9">
        <f>B21+C21+D21+E21</f>
        <v/>
      </c>
      <c r="G21" s="9">
        <f>F21-B21</f>
        <v/>
      </c>
      <c r="H21" s="9">
        <f>'Billing Reconciliation'!G21</f>
        <v/>
      </c>
      <c r="I21" s="9">
        <f>'Billing Reconciliation'!E21*'Scenario Inputs'!$B$8</f>
        <v/>
      </c>
      <c r="J21" s="9">
        <f>H21+I21</f>
        <v/>
      </c>
    </row>
    <row r="22">
      <c r="A22" s="8">
        <f>'MRR Bridge'!A22</f>
        <v/>
      </c>
      <c r="B22" s="9">
        <f>'MRR Bridge'!H22</f>
        <v/>
      </c>
      <c r="C22" s="9">
        <f>'MRR Bridge'!G22*'Scenario Inputs'!$B$5</f>
        <v/>
      </c>
      <c r="D22" s="9">
        <f>'MRR Bridge'!D22*'Scenario Inputs'!$B$7</f>
        <v/>
      </c>
      <c r="E22" s="9">
        <f>'MRR Bridge'!H22*'Scenario Inputs'!$B$6</f>
        <v/>
      </c>
      <c r="F22" s="9">
        <f>B22+C22+D22+E22</f>
        <v/>
      </c>
      <c r="G22" s="9">
        <f>F22-B22</f>
        <v/>
      </c>
      <c r="H22" s="9">
        <f>'Billing Reconciliation'!G22</f>
        <v/>
      </c>
      <c r="I22" s="9">
        <f>'Billing Reconciliation'!E22*'Scenario Inputs'!$B$8</f>
        <v/>
      </c>
      <c r="J22" s="9">
        <f>H22+I22</f>
        <v/>
      </c>
    </row>
    <row r="23">
      <c r="A23" s="8">
        <f>'MRR Bridge'!A23</f>
        <v/>
      </c>
      <c r="B23" s="9">
        <f>'MRR Bridge'!H23</f>
        <v/>
      </c>
      <c r="C23" s="9">
        <f>'MRR Bridge'!G23*'Scenario Inputs'!$B$5</f>
        <v/>
      </c>
      <c r="D23" s="9">
        <f>'MRR Bridge'!D23*'Scenario Inputs'!$B$7</f>
        <v/>
      </c>
      <c r="E23" s="9">
        <f>'MRR Bridge'!H23*'Scenario Inputs'!$B$6</f>
        <v/>
      </c>
      <c r="F23" s="9">
        <f>B23+C23+D23+E23</f>
        <v/>
      </c>
      <c r="G23" s="9">
        <f>F23-B23</f>
        <v/>
      </c>
      <c r="H23" s="9">
        <f>'Billing Reconciliation'!G23</f>
        <v/>
      </c>
      <c r="I23" s="9">
        <f>'Billing Reconciliation'!E23*'Scenario Inputs'!$B$8</f>
        <v/>
      </c>
      <c r="J23" s="9">
        <f>H23+I23</f>
        <v/>
      </c>
    </row>
    <row r="24">
      <c r="A24" s="8">
        <f>'MRR Bridge'!A24</f>
        <v/>
      </c>
      <c r="B24" s="9">
        <f>'MRR Bridge'!H24</f>
        <v/>
      </c>
      <c r="C24" s="9">
        <f>'MRR Bridge'!G24*'Scenario Inputs'!$B$5</f>
        <v/>
      </c>
      <c r="D24" s="9">
        <f>'MRR Bridge'!D24*'Scenario Inputs'!$B$7</f>
        <v/>
      </c>
      <c r="E24" s="9">
        <f>'MRR Bridge'!H24*'Scenario Inputs'!$B$6</f>
        <v/>
      </c>
      <c r="F24" s="9">
        <f>B24+C24+D24+E24</f>
        <v/>
      </c>
      <c r="G24" s="9">
        <f>F24-B24</f>
        <v/>
      </c>
      <c r="H24" s="9">
        <f>'Billing Reconciliation'!G24</f>
        <v/>
      </c>
      <c r="I24" s="9">
        <f>'Billing Reconciliation'!E24*'Scenario Inputs'!$B$8</f>
        <v/>
      </c>
      <c r="J24" s="9">
        <f>H24+I24</f>
        <v/>
      </c>
    </row>
    <row r="25">
      <c r="A25" s="8">
        <f>'MRR Bridge'!A25</f>
        <v/>
      </c>
      <c r="B25" s="9">
        <f>'MRR Bridge'!H25</f>
        <v/>
      </c>
      <c r="C25" s="9">
        <f>'MRR Bridge'!G25*'Scenario Inputs'!$B$5</f>
        <v/>
      </c>
      <c r="D25" s="9">
        <f>'MRR Bridge'!D25*'Scenario Inputs'!$B$7</f>
        <v/>
      </c>
      <c r="E25" s="9">
        <f>'MRR Bridge'!H25*'Scenario Inputs'!$B$6</f>
        <v/>
      </c>
      <c r="F25" s="9">
        <f>B25+C25+D25+E25</f>
        <v/>
      </c>
      <c r="G25" s="9">
        <f>F25-B25</f>
        <v/>
      </c>
      <c r="H25" s="9">
        <f>'Billing Reconciliation'!G25</f>
        <v/>
      </c>
      <c r="I25" s="9">
        <f>'Billing Reconciliation'!E25*'Scenario Inputs'!$B$8</f>
        <v/>
      </c>
      <c r="J25" s="9">
        <f>H25+I25</f>
        <v/>
      </c>
    </row>
    <row r="26">
      <c r="A26" s="8">
        <f>'MRR Bridge'!A26</f>
        <v/>
      </c>
      <c r="B26" s="9">
        <f>'MRR Bridge'!H26</f>
        <v/>
      </c>
      <c r="C26" s="9">
        <f>'MRR Bridge'!G26*'Scenario Inputs'!$B$5</f>
        <v/>
      </c>
      <c r="D26" s="9">
        <f>'MRR Bridge'!D26*'Scenario Inputs'!$B$7</f>
        <v/>
      </c>
      <c r="E26" s="9">
        <f>'MRR Bridge'!H26*'Scenario Inputs'!$B$6</f>
        <v/>
      </c>
      <c r="F26" s="9">
        <f>B26+C26+D26+E26</f>
        <v/>
      </c>
      <c r="G26" s="9">
        <f>F26-B26</f>
        <v/>
      </c>
      <c r="H26" s="9">
        <f>'Billing Reconciliation'!G26</f>
        <v/>
      </c>
      <c r="I26" s="9">
        <f>'Billing Reconciliation'!E26*'Scenario Inputs'!$B$8</f>
        <v/>
      </c>
      <c r="J26" s="9">
        <f>H26+I26</f>
        <v/>
      </c>
    </row>
    <row r="27">
      <c r="A27" s="8">
        <f>'MRR Bridge'!A27</f>
        <v/>
      </c>
      <c r="B27" s="9">
        <f>'MRR Bridge'!H27</f>
        <v/>
      </c>
      <c r="C27" s="9">
        <f>'MRR Bridge'!G27*'Scenario Inputs'!$B$5</f>
        <v/>
      </c>
      <c r="D27" s="9">
        <f>'MRR Bridge'!D27*'Scenario Inputs'!$B$7</f>
        <v/>
      </c>
      <c r="E27" s="9">
        <f>'MRR Bridge'!H27*'Scenario Inputs'!$B$6</f>
        <v/>
      </c>
      <c r="F27" s="9">
        <f>B27+C27+D27+E27</f>
        <v/>
      </c>
      <c r="G27" s="9">
        <f>F27-B27</f>
        <v/>
      </c>
      <c r="H27" s="9">
        <f>'Billing Reconciliation'!G27</f>
        <v/>
      </c>
      <c r="I27" s="9">
        <f>'Billing Reconciliation'!E27*'Scenario Inputs'!$B$8</f>
        <v/>
      </c>
      <c r="J27" s="9">
        <f>H27+I27</f>
        <v/>
      </c>
    </row>
    <row r="28">
      <c r="A28" s="8">
        <f>'MRR Bridge'!A28</f>
        <v/>
      </c>
      <c r="B28" s="9">
        <f>'MRR Bridge'!H28</f>
        <v/>
      </c>
      <c r="C28" s="9">
        <f>'MRR Bridge'!G28*'Scenario Inputs'!$B$5</f>
        <v/>
      </c>
      <c r="D28" s="9">
        <f>'MRR Bridge'!D28*'Scenario Inputs'!$B$7</f>
        <v/>
      </c>
      <c r="E28" s="9">
        <f>'MRR Bridge'!H28*'Scenario Inputs'!$B$6</f>
        <v/>
      </c>
      <c r="F28" s="9">
        <f>B28+C28+D28+E28</f>
        <v/>
      </c>
      <c r="G28" s="9">
        <f>F28-B28</f>
        <v/>
      </c>
      <c r="H28" s="9">
        <f>'Billing Reconciliation'!G28</f>
        <v/>
      </c>
      <c r="I28" s="9">
        <f>'Billing Reconciliation'!E28*'Scenario Inputs'!$B$8</f>
        <v/>
      </c>
      <c r="J28" s="9">
        <f>H28+I28</f>
        <v/>
      </c>
    </row>
    <row r="29">
      <c r="A29" s="8">
        <f>'MRR Bridge'!A29</f>
        <v/>
      </c>
      <c r="B29" s="9">
        <f>'MRR Bridge'!H29</f>
        <v/>
      </c>
      <c r="C29" s="9">
        <f>'MRR Bridge'!G29*'Scenario Inputs'!$B$5</f>
        <v/>
      </c>
      <c r="D29" s="9">
        <f>'MRR Bridge'!D29*'Scenario Inputs'!$B$7</f>
        <v/>
      </c>
      <c r="E29" s="9">
        <f>'MRR Bridge'!H29*'Scenario Inputs'!$B$6</f>
        <v/>
      </c>
      <c r="F29" s="9">
        <f>B29+C29+D29+E29</f>
        <v/>
      </c>
      <c r="G29" s="9">
        <f>F29-B29</f>
        <v/>
      </c>
      <c r="H29" s="9">
        <f>'Billing Reconciliation'!G29</f>
        <v/>
      </c>
      <c r="I29" s="9">
        <f>'Billing Reconciliation'!E29*'Scenario Inputs'!$B$8</f>
        <v/>
      </c>
      <c r="J29" s="9">
        <f>H29+I29</f>
        <v/>
      </c>
    </row>
    <row r="30">
      <c r="A30" s="8">
        <f>'MRR Bridge'!A30</f>
        <v/>
      </c>
      <c r="B30" s="9">
        <f>'MRR Bridge'!H30</f>
        <v/>
      </c>
      <c r="C30" s="9">
        <f>'MRR Bridge'!G30*'Scenario Inputs'!$B$5</f>
        <v/>
      </c>
      <c r="D30" s="9">
        <f>'MRR Bridge'!D30*'Scenario Inputs'!$B$7</f>
        <v/>
      </c>
      <c r="E30" s="9">
        <f>'MRR Bridge'!H30*'Scenario Inputs'!$B$6</f>
        <v/>
      </c>
      <c r="F30" s="9">
        <f>B30+C30+D30+E30</f>
        <v/>
      </c>
      <c r="G30" s="9">
        <f>F30-B30</f>
        <v/>
      </c>
      <c r="H30" s="9">
        <f>'Billing Reconciliation'!G30</f>
        <v/>
      </c>
      <c r="I30" s="9">
        <f>'Billing Reconciliation'!E30*'Scenario Inputs'!$B$8</f>
        <v/>
      </c>
      <c r="J30" s="9">
        <f>H30+I30</f>
        <v/>
      </c>
    </row>
    <row r="31">
      <c r="A31" s="8">
        <f>'MRR Bridge'!A31</f>
        <v/>
      </c>
      <c r="B31" s="9">
        <f>'MRR Bridge'!H31</f>
        <v/>
      </c>
      <c r="C31" s="9">
        <f>'MRR Bridge'!G31*'Scenario Inputs'!$B$5</f>
        <v/>
      </c>
      <c r="D31" s="9">
        <f>'MRR Bridge'!D31*'Scenario Inputs'!$B$7</f>
        <v/>
      </c>
      <c r="E31" s="9">
        <f>'MRR Bridge'!H31*'Scenario Inputs'!$B$6</f>
        <v/>
      </c>
      <c r="F31" s="9">
        <f>B31+C31+D31+E31</f>
        <v/>
      </c>
      <c r="G31" s="9">
        <f>F31-B31</f>
        <v/>
      </c>
      <c r="H31" s="9">
        <f>'Billing Reconciliation'!G31</f>
        <v/>
      </c>
      <c r="I31" s="9">
        <f>'Billing Reconciliation'!E31*'Scenario Inputs'!$B$8</f>
        <v/>
      </c>
      <c r="J31" s="9">
        <f>H31+I31</f>
        <v/>
      </c>
    </row>
    <row r="32">
      <c r="A32" s="8">
        <f>'MRR Bridge'!A32</f>
        <v/>
      </c>
      <c r="B32" s="9">
        <f>'MRR Bridge'!H32</f>
        <v/>
      </c>
      <c r="C32" s="9">
        <f>'MRR Bridge'!G32*'Scenario Inputs'!$B$5</f>
        <v/>
      </c>
      <c r="D32" s="9">
        <f>'MRR Bridge'!D32*'Scenario Inputs'!$B$7</f>
        <v/>
      </c>
      <c r="E32" s="9">
        <f>'MRR Bridge'!H32*'Scenario Inputs'!$B$6</f>
        <v/>
      </c>
      <c r="F32" s="9">
        <f>B32+C32+D32+E32</f>
        <v/>
      </c>
      <c r="G32" s="9">
        <f>F32-B32</f>
        <v/>
      </c>
      <c r="H32" s="9">
        <f>'Billing Reconciliation'!G32</f>
        <v/>
      </c>
      <c r="I32" s="9">
        <f>'Billing Reconciliation'!E32*'Scenario Inputs'!$B$8</f>
        <v/>
      </c>
      <c r="J32" s="9">
        <f>H32+I32</f>
        <v/>
      </c>
    </row>
    <row r="33">
      <c r="A33" s="8">
        <f>'MRR Bridge'!A33</f>
        <v/>
      </c>
      <c r="B33" s="9">
        <f>'MRR Bridge'!H33</f>
        <v/>
      </c>
      <c r="C33" s="9">
        <f>'MRR Bridge'!G33*'Scenario Inputs'!$B$5</f>
        <v/>
      </c>
      <c r="D33" s="9">
        <f>'MRR Bridge'!D33*'Scenario Inputs'!$B$7</f>
        <v/>
      </c>
      <c r="E33" s="9">
        <f>'MRR Bridge'!H33*'Scenario Inputs'!$B$6</f>
        <v/>
      </c>
      <c r="F33" s="9">
        <f>B33+C33+D33+E33</f>
        <v/>
      </c>
      <c r="G33" s="9">
        <f>F33-B33</f>
        <v/>
      </c>
      <c r="H33" s="9">
        <f>'Billing Reconciliation'!G33</f>
        <v/>
      </c>
      <c r="I33" s="9">
        <f>'Billing Reconciliation'!E33*'Scenario Inputs'!$B$8</f>
        <v/>
      </c>
      <c r="J33" s="9">
        <f>H33+I33</f>
        <v/>
      </c>
    </row>
    <row r="34">
      <c r="A34" s="8">
        <f>'MRR Bridge'!A34</f>
        <v/>
      </c>
      <c r="B34" s="9">
        <f>'MRR Bridge'!H34</f>
        <v/>
      </c>
      <c r="C34" s="9">
        <f>'MRR Bridge'!G34*'Scenario Inputs'!$B$5</f>
        <v/>
      </c>
      <c r="D34" s="9">
        <f>'MRR Bridge'!D34*'Scenario Inputs'!$B$7</f>
        <v/>
      </c>
      <c r="E34" s="9">
        <f>'MRR Bridge'!H34*'Scenario Inputs'!$B$6</f>
        <v/>
      </c>
      <c r="F34" s="9">
        <f>B34+C34+D34+E34</f>
        <v/>
      </c>
      <c r="G34" s="9">
        <f>F34-B34</f>
        <v/>
      </c>
      <c r="H34" s="9">
        <f>'Billing Reconciliation'!G34</f>
        <v/>
      </c>
      <c r="I34" s="9">
        <f>'Billing Reconciliation'!E34*'Scenario Inputs'!$B$8</f>
        <v/>
      </c>
      <c r="J34" s="9">
        <f>H34+I34</f>
        <v/>
      </c>
    </row>
    <row r="35">
      <c r="A35" s="8">
        <f>'MRR Bridge'!A35</f>
        <v/>
      </c>
      <c r="B35" s="9">
        <f>'MRR Bridge'!H35</f>
        <v/>
      </c>
      <c r="C35" s="9">
        <f>'MRR Bridge'!G35*'Scenario Inputs'!$B$5</f>
        <v/>
      </c>
      <c r="D35" s="9">
        <f>'MRR Bridge'!D35*'Scenario Inputs'!$B$7</f>
        <v/>
      </c>
      <c r="E35" s="9">
        <f>'MRR Bridge'!H35*'Scenario Inputs'!$B$6</f>
        <v/>
      </c>
      <c r="F35" s="9">
        <f>B35+C35+D35+E35</f>
        <v/>
      </c>
      <c r="G35" s="9">
        <f>F35-B35</f>
        <v/>
      </c>
      <c r="H35" s="9">
        <f>'Billing Reconciliation'!G35</f>
        <v/>
      </c>
      <c r="I35" s="9">
        <f>'Billing Reconciliation'!E35*'Scenario Inputs'!$B$8</f>
        <v/>
      </c>
      <c r="J35" s="9">
        <f>H35+I35</f>
        <v/>
      </c>
    </row>
    <row r="36">
      <c r="A36" s="8">
        <f>'MRR Bridge'!A36</f>
        <v/>
      </c>
      <c r="B36" s="9">
        <f>'MRR Bridge'!H36</f>
        <v/>
      </c>
      <c r="C36" s="9">
        <f>'MRR Bridge'!G36*'Scenario Inputs'!$B$5</f>
        <v/>
      </c>
      <c r="D36" s="9">
        <f>'MRR Bridge'!D36*'Scenario Inputs'!$B$7</f>
        <v/>
      </c>
      <c r="E36" s="9">
        <f>'MRR Bridge'!H36*'Scenario Inputs'!$B$6</f>
        <v/>
      </c>
      <c r="F36" s="9">
        <f>B36+C36+D36+E36</f>
        <v/>
      </c>
      <c r="G36" s="9">
        <f>F36-B36</f>
        <v/>
      </c>
      <c r="H36" s="9">
        <f>'Billing Reconciliation'!G36</f>
        <v/>
      </c>
      <c r="I36" s="9">
        <f>'Billing Reconciliation'!E36*'Scenario Inputs'!$B$8</f>
        <v/>
      </c>
      <c r="J36" s="9">
        <f>H36+I36</f>
        <v/>
      </c>
    </row>
    <row r="37">
      <c r="A37" s="8">
        <f>'MRR Bridge'!A37</f>
        <v/>
      </c>
      <c r="B37" s="9">
        <f>'MRR Bridge'!H37</f>
        <v/>
      </c>
      <c r="C37" s="9">
        <f>'MRR Bridge'!G37*'Scenario Inputs'!$B$5</f>
        <v/>
      </c>
      <c r="D37" s="9">
        <f>'MRR Bridge'!D37*'Scenario Inputs'!$B$7</f>
        <v/>
      </c>
      <c r="E37" s="9">
        <f>'MRR Bridge'!H37*'Scenario Inputs'!$B$6</f>
        <v/>
      </c>
      <c r="F37" s="9">
        <f>B37+C37+D37+E37</f>
        <v/>
      </c>
      <c r="G37" s="9">
        <f>F37-B37</f>
        <v/>
      </c>
      <c r="H37" s="9">
        <f>'Billing Reconciliation'!G37</f>
        <v/>
      </c>
      <c r="I37" s="9">
        <f>'Billing Reconciliation'!E37*'Scenario Inputs'!$B$8</f>
        <v/>
      </c>
      <c r="J37" s="9">
        <f>H37+I37</f>
        <v/>
      </c>
    </row>
    <row r="38">
      <c r="A38" s="8">
        <f>'MRR Bridge'!A38</f>
        <v/>
      </c>
      <c r="B38" s="9">
        <f>'MRR Bridge'!H38</f>
        <v/>
      </c>
      <c r="C38" s="9">
        <f>'MRR Bridge'!G38*'Scenario Inputs'!$B$5</f>
        <v/>
      </c>
      <c r="D38" s="9">
        <f>'MRR Bridge'!D38*'Scenario Inputs'!$B$7</f>
        <v/>
      </c>
      <c r="E38" s="9">
        <f>'MRR Bridge'!H38*'Scenario Inputs'!$B$6</f>
        <v/>
      </c>
      <c r="F38" s="9">
        <f>B38+C38+D38+E38</f>
        <v/>
      </c>
      <c r="G38" s="9">
        <f>F38-B38</f>
        <v/>
      </c>
      <c r="H38" s="9">
        <f>'Billing Reconciliation'!G38</f>
        <v/>
      </c>
      <c r="I38" s="9">
        <f>'Billing Reconciliation'!E38*'Scenario Inputs'!$B$8</f>
        <v/>
      </c>
      <c r="J38" s="9">
        <f>H38+I38</f>
        <v/>
      </c>
    </row>
    <row r="39">
      <c r="A39" s="8">
        <f>'MRR Bridge'!A39</f>
        <v/>
      </c>
      <c r="B39" s="9">
        <f>'MRR Bridge'!H39</f>
        <v/>
      </c>
      <c r="C39" s="9">
        <f>'MRR Bridge'!G39*'Scenario Inputs'!$B$5</f>
        <v/>
      </c>
      <c r="D39" s="9">
        <f>'MRR Bridge'!D39*'Scenario Inputs'!$B$7</f>
        <v/>
      </c>
      <c r="E39" s="9">
        <f>'MRR Bridge'!H39*'Scenario Inputs'!$B$6</f>
        <v/>
      </c>
      <c r="F39" s="9">
        <f>B39+C39+D39+E39</f>
        <v/>
      </c>
      <c r="G39" s="9">
        <f>F39-B39</f>
        <v/>
      </c>
      <c r="H39" s="9">
        <f>'Billing Reconciliation'!G39</f>
        <v/>
      </c>
      <c r="I39" s="9">
        <f>'Billing Reconciliation'!E39*'Scenario Inputs'!$B$8</f>
        <v/>
      </c>
      <c r="J39" s="9">
        <f>H39+I39</f>
        <v/>
      </c>
    </row>
    <row r="40">
      <c r="A40" s="8">
        <f>'MRR Bridge'!A40</f>
        <v/>
      </c>
      <c r="B40" s="9">
        <f>'MRR Bridge'!H40</f>
        <v/>
      </c>
      <c r="C40" s="9">
        <f>'MRR Bridge'!G40*'Scenario Inputs'!$B$5</f>
        <v/>
      </c>
      <c r="D40" s="9">
        <f>'MRR Bridge'!D40*'Scenario Inputs'!$B$7</f>
        <v/>
      </c>
      <c r="E40" s="9">
        <f>'MRR Bridge'!H40*'Scenario Inputs'!$B$6</f>
        <v/>
      </c>
      <c r="F40" s="9">
        <f>B40+C40+D40+E40</f>
        <v/>
      </c>
      <c r="G40" s="9">
        <f>F40-B40</f>
        <v/>
      </c>
      <c r="H40" s="9">
        <f>'Billing Reconciliation'!G40</f>
        <v/>
      </c>
      <c r="I40" s="9">
        <f>'Billing Reconciliation'!E40*'Scenario Inputs'!$B$8</f>
        <v/>
      </c>
      <c r="J40" s="9">
        <f>H40+I40</f>
        <v/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0"/>
  <pageMargins left="0.4" right="0.4" top="1" bottom="1" header="0.5" footer="0.5"/>
  <pageSetup orientation="landscape" paperSize="1" fitToHeight="0" fitToWidth="1"/>
  <headerFooter>
    <oddHeader>&amp;L&amp;9 SaaS Revenue Intelligence | MRR, Retention &amp;&amp; Billing Controls&amp;R&amp;9 Scenario Output</oddHeader>
    <oddFooter>&amp;L&amp;8 Synthetic data. Not real financial results.&amp;C&amp;8 Refreshed 2026-09-19 20:07 UTC&amp;R&amp;8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  <col width="34" customWidth="1" min="3" max="3"/>
    <col width="30" customWidth="1" min="4" max="4"/>
  </cols>
  <sheetData>
    <row r="1">
      <c r="A1" s="1" t="inlineStr">
        <is>
          <t>Metric definitions (implemented metrics only)</t>
        </is>
      </c>
    </row>
    <row r="3" ht="32" customHeight="1">
      <c r="A3" s="3" t="inlineStr">
        <is>
          <t>Metric</t>
        </is>
      </c>
      <c r="B3" s="3" t="inlineStr">
        <is>
          <t>Definition</t>
        </is>
      </c>
      <c r="C3" s="3" t="inlineStr">
        <is>
          <t>Where in this workbook</t>
        </is>
      </c>
      <c r="D3" s="3" t="inlineStr">
        <is>
          <t>Source mart</t>
        </is>
      </c>
    </row>
    <row r="4">
      <c r="A4" t="inlineStr">
        <is>
          <t>MRR</t>
        </is>
      </c>
      <c r="B4" t="inlineStr">
        <is>
          <t>Sum of active subscription monthly recurring revenue at month end</t>
        </is>
      </c>
      <c r="C4" t="inlineStr">
        <is>
          <t>Closing MRR</t>
        </is>
      </c>
      <c r="D4" t="inlineStr">
        <is>
          <t>mart_mrr_bridge</t>
        </is>
      </c>
    </row>
    <row r="5">
      <c r="A5" t="inlineStr">
        <is>
          <t>Net new MRR</t>
        </is>
      </c>
      <c r="B5" t="inlineStr">
        <is>
          <t>New + expansion + reactivation - contraction - churned</t>
        </is>
      </c>
      <c r="C5" t="inlineStr">
        <is>
          <t>C+D+E-F-G</t>
        </is>
      </c>
      <c r="D5" t="inlineStr">
        <is>
          <t>mart_mrr_bridge</t>
        </is>
      </c>
    </row>
    <row r="6">
      <c r="A6" t="inlineStr">
        <is>
          <t>NRR</t>
        </is>
      </c>
      <c r="B6" t="inlineStr">
        <is>
          <t>(Opening + expansion + reactivation - contraction - churned) / opening</t>
        </is>
      </c>
      <c r="C6" t="inlineStr">
        <is>
          <t>MRR Bridge column M</t>
        </is>
      </c>
      <c r="D6" t="inlineStr">
        <is>
          <t>mart_revenue_kpis</t>
        </is>
      </c>
    </row>
    <row r="7">
      <c r="A7" t="inlineStr">
        <is>
          <t>GRR</t>
        </is>
      </c>
      <c r="B7" t="inlineStr">
        <is>
          <t>(Opening - contraction - churned) / opening</t>
        </is>
      </c>
      <c r="C7" t="inlineStr">
        <is>
          <t>MRR Bridge column N</t>
        </is>
      </c>
      <c r="D7" t="inlineStr">
        <is>
          <t>mart_revenue_kpis</t>
        </is>
      </c>
    </row>
    <row r="8">
      <c r="A8" t="inlineStr">
        <is>
          <t>Tie-out variance</t>
        </is>
      </c>
      <c r="B8" t="inlineStr">
        <is>
          <t>Invoiced - successful payments - unpaid failed exposure</t>
        </is>
      </c>
      <c r="C8" t="inlineStr">
        <is>
          <t>Billing Reconciliation column J</t>
        </is>
      </c>
      <c r="D8" t="inlineStr">
        <is>
          <t>fct_billing_reconciliation</t>
        </is>
      </c>
    </row>
    <row r="9">
      <c r="A9" t="inlineStr">
        <is>
          <t>Net cash</t>
        </is>
      </c>
      <c r="B9" t="inlineStr">
        <is>
          <t>Successful payments - refunds</t>
        </is>
      </c>
      <c r="C9" t="inlineStr">
        <is>
          <t>Billing Reconciliation column K</t>
        </is>
      </c>
      <c r="D9" t="inlineStr">
        <is>
          <t>fct_billing_reconciliation</t>
        </is>
      </c>
    </row>
    <row r="10">
      <c r="A10" t="inlineStr">
        <is>
          <t>Failed-payment exposure</t>
        </is>
      </c>
      <c r="B10" t="inlineStr">
        <is>
          <t>Invoice total on invoices without a successful payment</t>
        </is>
      </c>
      <c r="C10" t="inlineStr">
        <is>
          <t>Billing Reconciliation column E</t>
        </is>
      </c>
      <c r="D10" t="inlineStr">
        <is>
          <t>fct_billing_reconciliation</t>
        </is>
      </c>
    </row>
    <row r="11">
      <c r="A11" t="inlineStr">
        <is>
          <t>Finance exception</t>
        </is>
      </c>
      <c r="B11" t="inlineStr">
        <is>
          <t>Invoice-level rule violation queued for review</t>
        </is>
      </c>
      <c r="C11" t="inlineStr">
        <is>
          <t>Exceptions sheet</t>
        </is>
      </c>
      <c r="D11" t="inlineStr">
        <is>
          <t>mart_finance_exceptions</t>
        </is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0"/>
  <pageMargins left="0.4" right="0.4" top="1" bottom="1" header="0.5" footer="0.5"/>
  <pageSetup orientation="landscape" paperSize="1" fitToHeight="0" fitToWidth="1"/>
  <headerFooter>
    <oddHeader>&amp;L&amp;9 SaaS Revenue Intelligence | MRR, Retention &amp;&amp; Billing Controls&amp;R&amp;9 Metric Definitions</oddHeader>
    <oddFooter>&amp;L&amp;8 Synthetic data. Not real financial results.&amp;C&amp;8 Refreshed 2026-09-19 20:07 UTC&amp;R&amp;8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2026-09-19T20:07:18Z</dcterms:created>
  <dcterms:modified xsi:type="dcterms:W3CDTF">2026-09-19T20:07:18Z</dcterms:modified>
</cp:coreProperties>
</file>